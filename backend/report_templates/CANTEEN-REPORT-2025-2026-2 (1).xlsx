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1742AFDB-2396-4832-80EE-EFB1D35C3ADF}" xr6:coauthVersionLast="47" xr6:coauthVersionMax="47" xr10:uidLastSave="{00000000-0000-0000-0000-000000000000}"/>
  <bookViews>
    <workbookView xWindow="-110" yWindow="-110" windowWidth="19420" windowHeight="10300" firstSheet="1" activeTab="7" xr2:uid="{00000000-000D-0000-FFFF-FFFF00000000}"/>
  </bookViews>
  <sheets>
    <sheet name="June" sheetId="1" r:id="rId1"/>
    <sheet name="July" sheetId="2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G44" i="12" l="1"/>
  <c r="F44" i="12"/>
  <c r="E44" i="12"/>
  <c r="D44" i="12"/>
  <c r="C44" i="12"/>
  <c r="B44" i="12"/>
  <c r="F35" i="12"/>
  <c r="F28" i="12"/>
  <c r="F36" i="12" s="1"/>
  <c r="D41" i="12" s="1"/>
  <c r="F18" i="12"/>
  <c r="G44" i="11"/>
  <c r="F44" i="11"/>
  <c r="E44" i="11"/>
  <c r="D44" i="11"/>
  <c r="C44" i="11"/>
  <c r="B44" i="11"/>
  <c r="F35" i="11"/>
  <c r="F28" i="11"/>
  <c r="F18" i="11"/>
  <c r="G44" i="10"/>
  <c r="F44" i="10"/>
  <c r="E44" i="10"/>
  <c r="D44" i="10"/>
  <c r="C44" i="10"/>
  <c r="B44" i="10"/>
  <c r="F35" i="10"/>
  <c r="F28" i="10"/>
  <c r="F18" i="10"/>
  <c r="F36" i="10" s="1"/>
  <c r="D41" i="10" s="1"/>
  <c r="G44" i="9"/>
  <c r="F44" i="9"/>
  <c r="E44" i="9"/>
  <c r="D44" i="9"/>
  <c r="C44" i="9"/>
  <c r="B44" i="9"/>
  <c r="F35" i="9"/>
  <c r="F28" i="9"/>
  <c r="F18" i="9"/>
  <c r="G44" i="8"/>
  <c r="F44" i="8"/>
  <c r="E44" i="8"/>
  <c r="D44" i="8"/>
  <c r="C44" i="8"/>
  <c r="B44" i="8"/>
  <c r="F35" i="8"/>
  <c r="F28" i="8"/>
  <c r="F18" i="8"/>
  <c r="G44" i="7"/>
  <c r="F44" i="7"/>
  <c r="E44" i="7"/>
  <c r="D44" i="7"/>
  <c r="C44" i="7"/>
  <c r="B44" i="7"/>
  <c r="F35" i="7"/>
  <c r="F28" i="7"/>
  <c r="F18" i="7"/>
  <c r="G44" i="6"/>
  <c r="F44" i="6"/>
  <c r="E44" i="6"/>
  <c r="D44" i="6"/>
  <c r="C44" i="6"/>
  <c r="B44" i="6"/>
  <c r="F35" i="6"/>
  <c r="F28" i="6"/>
  <c r="F18" i="6"/>
  <c r="G44" i="5"/>
  <c r="F44" i="5"/>
  <c r="E44" i="5"/>
  <c r="D44" i="5"/>
  <c r="C44" i="5"/>
  <c r="B44" i="5"/>
  <c r="F35" i="5"/>
  <c r="F28" i="5"/>
  <c r="F18" i="5"/>
  <c r="G44" i="4"/>
  <c r="F44" i="4"/>
  <c r="E44" i="4"/>
  <c r="D44" i="4"/>
  <c r="C44" i="4"/>
  <c r="B44" i="4"/>
  <c r="F35" i="4"/>
  <c r="F28" i="4"/>
  <c r="F18" i="4"/>
  <c r="G44" i="3"/>
  <c r="F44" i="3"/>
  <c r="E44" i="3"/>
  <c r="D44" i="3"/>
  <c r="C44" i="3"/>
  <c r="B44" i="3"/>
  <c r="F35" i="3"/>
  <c r="F28" i="3"/>
  <c r="F18" i="3"/>
  <c r="G44" i="2"/>
  <c r="F44" i="2"/>
  <c r="E44" i="2"/>
  <c r="D44" i="2"/>
  <c r="C44" i="2"/>
  <c r="B44" i="2"/>
  <c r="F35" i="2"/>
  <c r="F28" i="2"/>
  <c r="F18" i="2"/>
  <c r="F36" i="2" s="1"/>
  <c r="G44" i="1"/>
  <c r="F44" i="1"/>
  <c r="E44" i="1"/>
  <c r="D44" i="1"/>
  <c r="C44" i="1"/>
  <c r="B44" i="1"/>
  <c r="F35" i="1"/>
  <c r="F28" i="1"/>
  <c r="F18" i="1"/>
  <c r="F36" i="1" s="1"/>
  <c r="F41" i="1" s="1"/>
  <c r="F36" i="8" l="1"/>
  <c r="D41" i="8" s="1"/>
  <c r="F36" i="7"/>
  <c r="G41" i="7" s="1"/>
  <c r="F36" i="6"/>
  <c r="D41" i="6" s="1"/>
  <c r="D41" i="2"/>
  <c r="C41" i="2"/>
  <c r="F36" i="9"/>
  <c r="G41" i="9" s="1"/>
  <c r="F36" i="5"/>
  <c r="F41" i="5" s="1"/>
  <c r="F45" i="1"/>
  <c r="F39" i="2" s="1"/>
  <c r="F36" i="11"/>
  <c r="D41" i="11" s="1"/>
  <c r="F36" i="4"/>
  <c r="D41" i="4" s="1"/>
  <c r="F36" i="3"/>
  <c r="D41" i="3" s="1"/>
  <c r="F41" i="9"/>
  <c r="B41" i="9"/>
  <c r="E41" i="9"/>
  <c r="D41" i="9"/>
  <c r="E41" i="11"/>
  <c r="F41" i="7"/>
  <c r="B41" i="7"/>
  <c r="D41" i="7"/>
  <c r="C41" i="7"/>
  <c r="E41" i="7"/>
  <c r="E41" i="1"/>
  <c r="E45" i="1" s="1"/>
  <c r="E39" i="2" s="1"/>
  <c r="E45" i="2" s="1"/>
  <c r="E39" i="3" s="1"/>
  <c r="G41" i="2"/>
  <c r="C41" i="4"/>
  <c r="C41" i="10"/>
  <c r="C41" i="12"/>
  <c r="C41" i="1"/>
  <c r="C45" i="1" s="1"/>
  <c r="C39" i="2" s="1"/>
  <c r="C45" i="2" s="1"/>
  <c r="C39" i="3" s="1"/>
  <c r="G41" i="1"/>
  <c r="G45" i="1" s="1"/>
  <c r="G39" i="2" s="1"/>
  <c r="G45" i="2" s="1"/>
  <c r="G39" i="3" s="1"/>
  <c r="E41" i="2"/>
  <c r="E41" i="4"/>
  <c r="E41" i="10"/>
  <c r="E41" i="12"/>
  <c r="G41" i="12"/>
  <c r="D41" i="1"/>
  <c r="D45" i="1" s="1"/>
  <c r="D39" i="2" s="1"/>
  <c r="D45" i="2" s="1"/>
  <c r="D39" i="3" s="1"/>
  <c r="B41" i="2"/>
  <c r="F41" i="2"/>
  <c r="B41" i="4"/>
  <c r="F41" i="4"/>
  <c r="B41" i="10"/>
  <c r="F41" i="10"/>
  <c r="B41" i="12"/>
  <c r="F41" i="12"/>
  <c r="G41" i="4"/>
  <c r="G41" i="10"/>
  <c r="B41" i="1"/>
  <c r="B45" i="1" s="1"/>
  <c r="F41" i="8" l="1"/>
  <c r="G41" i="8"/>
  <c r="C41" i="8"/>
  <c r="B41" i="8"/>
  <c r="E41" i="8"/>
  <c r="G41" i="6"/>
  <c r="E41" i="6"/>
  <c r="F41" i="6"/>
  <c r="B41" i="6"/>
  <c r="C41" i="6"/>
  <c r="D41" i="5"/>
  <c r="E41" i="5"/>
  <c r="C41" i="5"/>
  <c r="G41" i="5"/>
  <c r="C41" i="11"/>
  <c r="B41" i="3"/>
  <c r="G41" i="11"/>
  <c r="F41" i="3"/>
  <c r="B41" i="11"/>
  <c r="C41" i="3"/>
  <c r="F41" i="11"/>
  <c r="G41" i="3"/>
  <c r="G45" i="3" s="1"/>
  <c r="G39" i="4" s="1"/>
  <c r="G45" i="4" s="1"/>
  <c r="G39" i="5" s="1"/>
  <c r="F45" i="2"/>
  <c r="F39" i="3" s="1"/>
  <c r="C41" i="9"/>
  <c r="E41" i="3"/>
  <c r="B41" i="5"/>
  <c r="D45" i="3"/>
  <c r="D39" i="4" s="1"/>
  <c r="D45" i="4" s="1"/>
  <c r="D39" i="5" s="1"/>
  <c r="D45" i="5" s="1"/>
  <c r="D39" i="6" s="1"/>
  <c r="D45" i="6" s="1"/>
  <c r="D39" i="7" s="1"/>
  <c r="D45" i="7" s="1"/>
  <c r="D39" i="8" s="1"/>
  <c r="D45" i="8" s="1"/>
  <c r="D39" i="9" s="1"/>
  <c r="D45" i="9" s="1"/>
  <c r="D39" i="10" s="1"/>
  <c r="D45" i="10" s="1"/>
  <c r="D39" i="11" s="1"/>
  <c r="D45" i="11" s="1"/>
  <c r="D39" i="12" s="1"/>
  <c r="D45" i="12" s="1"/>
  <c r="E45" i="3"/>
  <c r="E39" i="4" s="1"/>
  <c r="E45" i="4" s="1"/>
  <c r="E39" i="5" s="1"/>
  <c r="E45" i="5" s="1"/>
  <c r="E39" i="6" s="1"/>
  <c r="E45" i="6" s="1"/>
  <c r="E39" i="7" s="1"/>
  <c r="E45" i="7" s="1"/>
  <c r="E39" i="8" s="1"/>
  <c r="C45" i="3"/>
  <c r="C39" i="4" s="1"/>
  <c r="C45" i="4" s="1"/>
  <c r="C39" i="5" s="1"/>
  <c r="C45" i="5" s="1"/>
  <c r="C39" i="6" s="1"/>
  <c r="C45" i="6" s="1"/>
  <c r="C39" i="7" s="1"/>
  <c r="C45" i="7" s="1"/>
  <c r="C39" i="8" s="1"/>
  <c r="C45" i="8" s="1"/>
  <c r="C39" i="9" s="1"/>
  <c r="C45" i="9" s="1"/>
  <c r="C39" i="10" s="1"/>
  <c r="C45" i="10" s="1"/>
  <c r="C39" i="11" s="1"/>
  <c r="C45" i="11" s="1"/>
  <c r="C39" i="12" s="1"/>
  <c r="C45" i="12" s="1"/>
  <c r="B39" i="2"/>
  <c r="B45" i="2" s="1"/>
  <c r="H45" i="1"/>
  <c r="C15" i="2" s="1"/>
  <c r="E45" i="8" l="1"/>
  <c r="E39" i="9" s="1"/>
  <c r="E45" i="9" s="1"/>
  <c r="E39" i="10" s="1"/>
  <c r="E45" i="10" s="1"/>
  <c r="E39" i="11" s="1"/>
  <c r="E45" i="11" s="1"/>
  <c r="E39" i="12" s="1"/>
  <c r="E45" i="12" s="1"/>
  <c r="G45" i="5"/>
  <c r="G39" i="6" s="1"/>
  <c r="G45" i="6" s="1"/>
  <c r="G39" i="7" s="1"/>
  <c r="G45" i="7" s="1"/>
  <c r="G39" i="8" s="1"/>
  <c r="G45" i="8" s="1"/>
  <c r="G39" i="9" s="1"/>
  <c r="G45" i="9" s="1"/>
  <c r="G39" i="10" s="1"/>
  <c r="G45" i="10" s="1"/>
  <c r="G39" i="11" s="1"/>
  <c r="G45" i="11" s="1"/>
  <c r="G39" i="12" s="1"/>
  <c r="G45" i="12" s="1"/>
  <c r="F45" i="3"/>
  <c r="F39" i="4" s="1"/>
  <c r="F45" i="4" s="1"/>
  <c r="F39" i="5" s="1"/>
  <c r="F45" i="5" s="1"/>
  <c r="F39" i="6" s="1"/>
  <c r="F45" i="6" s="1"/>
  <c r="F39" i="7" s="1"/>
  <c r="F45" i="7" s="1"/>
  <c r="F39" i="8" s="1"/>
  <c r="F45" i="8" s="1"/>
  <c r="F39" i="9" s="1"/>
  <c r="F45" i="9" s="1"/>
  <c r="F39" i="10" s="1"/>
  <c r="F45" i="10" s="1"/>
  <c r="F39" i="11" s="1"/>
  <c r="F45" i="11" s="1"/>
  <c r="F39" i="12" s="1"/>
  <c r="F45" i="12" s="1"/>
  <c r="H45" i="2"/>
  <c r="C15" i="3" s="1"/>
  <c r="B39" i="3"/>
  <c r="B45" i="3" s="1"/>
  <c r="B39" i="4" l="1"/>
  <c r="B45" i="4" s="1"/>
  <c r="H45" i="3"/>
  <c r="C15" i="4" s="1"/>
  <c r="H45" i="4" l="1"/>
  <c r="C15" i="5" s="1"/>
  <c r="B39" i="5"/>
  <c r="B45" i="5" s="1"/>
  <c r="B39" i="6" l="1"/>
  <c r="B45" i="6" s="1"/>
  <c r="H45" i="5"/>
  <c r="C15" i="6" s="1"/>
  <c r="H45" i="6" l="1"/>
  <c r="C15" i="7" s="1"/>
  <c r="B39" i="7"/>
  <c r="B45" i="7" s="1"/>
  <c r="B39" i="8" l="1"/>
  <c r="B45" i="8" s="1"/>
  <c r="H45" i="7"/>
  <c r="C15" i="8" s="1"/>
  <c r="H45" i="8" l="1"/>
  <c r="C15" i="9" s="1"/>
  <c r="B39" i="9"/>
  <c r="B45" i="9" s="1"/>
  <c r="B39" i="10" l="1"/>
  <c r="B45" i="10" s="1"/>
  <c r="H45" i="9"/>
  <c r="C15" i="10" s="1"/>
  <c r="H45" i="10" l="1"/>
  <c r="C15" i="11" s="1"/>
  <c r="B39" i="11"/>
  <c r="B45" i="11" s="1"/>
  <c r="B39" i="12" l="1"/>
  <c r="B45" i="12" s="1"/>
  <c r="H45" i="12" s="1"/>
  <c r="H45" i="11"/>
  <c r="C15" i="12" s="1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<sst xmlns="http://schemas.openxmlformats.org/spreadsheetml/2006/main" count="625" uniqueCount="63">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</sst>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8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5" fontId="8" fillId="0" borderId="2" xfId="0" applyNumberFormat="1" applyFont="1" applyBorder="1" applyAlignment="1">
      <alignment horizontal="center"/>
    </xf>
    <xf numFmtId="0" fontId="9" fillId="0" borderId="2" xfId="0" applyFont="1" applyBorder="1"/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0" fontId="2" fillId="0" borderId="0" xfId="0" applyFont="1"/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165" fontId="8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47700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30" workbookViewId="0">
      <selection sqref="A1:G1"/>
    </sheetView>
  </sheetViews>
  <sheetFormatPr defaultColWidth="14.453125" defaultRowHeight="15" customHeight="1"/>
  <cols>
    <col min="1" max="1" width="18.54296875" customWidth="1"/>
    <col min="2" max="7" width="13.54296875" customWidth="1"/>
    <col min="8" max="8" width="10.90625" hidden="1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11834.59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39840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31872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7968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950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1000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800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3000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5750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2218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1066.67</v>
      </c>
      <c r="C39" s="18">
        <v>92.97</v>
      </c>
      <c r="D39" s="18">
        <v>2982.35</v>
      </c>
      <c r="E39" s="18">
        <v>4160.5</v>
      </c>
      <c r="F39" s="18">
        <v>871.5</v>
      </c>
      <c r="G39" s="19">
        <v>2660.6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776.3</v>
      </c>
      <c r="C41" s="24">
        <f>SUM(F36*0.05)</f>
        <v>110.9</v>
      </c>
      <c r="D41" s="24">
        <f>SUM(F36*0.15)</f>
        <v>332.7</v>
      </c>
      <c r="E41" s="24">
        <f>SUM(F36*0.25)</f>
        <v>554.5</v>
      </c>
      <c r="F41" s="25">
        <f>SUM(F36*0.1)</f>
        <v>221.8</v>
      </c>
      <c r="G41" s="26">
        <f>SUM(F36*0.1)</f>
        <v>221.8</v>
      </c>
      <c r="I41" s="27"/>
    </row>
    <row r="42" spans="1:9" ht="30" customHeight="1">
      <c r="A42" s="16" t="s">
        <v>38</v>
      </c>
      <c r="B42" s="20">
        <v>0</v>
      </c>
      <c r="C42" s="21">
        <v>170</v>
      </c>
      <c r="D42" s="21">
        <v>2600</v>
      </c>
      <c r="E42" s="21">
        <v>4000</v>
      </c>
      <c r="F42" s="21">
        <v>1000</v>
      </c>
      <c r="G42" s="22">
        <v>700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170</v>
      </c>
      <c r="D44" s="34">
        <f t="shared" si="0"/>
        <v>2600</v>
      </c>
      <c r="E44" s="34">
        <f t="shared" si="0"/>
        <v>4000</v>
      </c>
      <c r="F44" s="34">
        <f t="shared" si="0"/>
        <v>1000</v>
      </c>
      <c r="G44" s="35">
        <f t="shared" si="0"/>
        <v>700</v>
      </c>
    </row>
    <row r="45" spans="1:9" ht="21" customHeight="1">
      <c r="A45" s="36" t="s">
        <v>40</v>
      </c>
      <c r="B45" s="17">
        <f t="shared" ref="B45:G45" si="1">SUM(B39:B41)-(B44)</f>
        <v>1842.97</v>
      </c>
      <c r="C45" s="18">
        <f t="shared" si="1"/>
        <v>33.870000000000005</v>
      </c>
      <c r="D45" s="18">
        <f t="shared" si="1"/>
        <v>715.04999999999973</v>
      </c>
      <c r="E45" s="18">
        <f t="shared" si="1"/>
        <v>715</v>
      </c>
      <c r="F45" s="18">
        <f t="shared" si="1"/>
        <v>93.299999999999955</v>
      </c>
      <c r="G45" s="19">
        <f t="shared" si="1"/>
        <v>2182.4</v>
      </c>
      <c r="H45" s="27">
        <f>SUM(B45:G45)</f>
        <v>5582.59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topLeftCell="A23" workbookViewId="0">
      <selection sqref="A1:G1"/>
    </sheetView>
  </sheetViews>
  <sheetFormatPr defaultColWidth="14.453125" defaultRowHeight="15" customHeight="1"/>
  <cols>
    <col min="1" max="1" width="18.54296875" customWidth="1"/>
    <col min="2" max="7" width="13.54296875" customWidth="1"/>
    <col min="8" max="8" width="0.36328125" customWidth="1"/>
    <col min="9" max="26" width="8.6328125" customWidth="1"/>
  </cols>
  <sheetData>
    <row r="1" spans="1:7" ht="14.25" customHeight="1">
      <c r="A1" s="72"/>
      <c r="B1" s="48"/>
      <c r="C1" s="48"/>
      <c r="D1" s="48"/>
      <c r="E1" s="48"/>
      <c r="F1" s="48"/>
      <c r="G1" s="48"/>
    </row>
    <row r="2" spans="1:7" ht="14.25" customHeight="1">
      <c r="A2" s="72"/>
      <c r="B2" s="48"/>
      <c r="C2" s="48"/>
      <c r="D2" s="48"/>
      <c r="E2" s="48"/>
      <c r="F2" s="48"/>
      <c r="G2" s="48"/>
    </row>
    <row r="3" spans="1:7" ht="14.25" customHeight="1">
      <c r="A3" s="72"/>
      <c r="B3" s="48"/>
      <c r="C3" s="48"/>
      <c r="D3" s="48"/>
      <c r="E3" s="48"/>
      <c r="F3" s="48"/>
      <c r="G3" s="48"/>
    </row>
    <row r="4" spans="1:7" ht="14.25" customHeight="1">
      <c r="A4" s="66"/>
      <c r="B4" s="48"/>
      <c r="C4" s="48"/>
      <c r="D4" s="48"/>
      <c r="E4" s="48"/>
      <c r="F4" s="48"/>
      <c r="G4" s="48"/>
    </row>
    <row r="5" spans="1:7" ht="14.25" customHeight="1">
      <c r="A5" s="73" t="s">
        <v>0</v>
      </c>
      <c r="B5" s="48"/>
      <c r="C5" s="48"/>
      <c r="D5" s="48"/>
      <c r="E5" s="48"/>
      <c r="F5" s="48"/>
      <c r="G5" s="48"/>
    </row>
    <row r="6" spans="1:7" ht="14.25" customHeight="1">
      <c r="A6" s="70" t="s">
        <v>1</v>
      </c>
      <c r="B6" s="48"/>
      <c r="C6" s="48"/>
      <c r="D6" s="48"/>
      <c r="E6" s="48"/>
      <c r="F6" s="48"/>
      <c r="G6" s="48"/>
    </row>
    <row r="7" spans="1:7" ht="14.25" customHeight="1">
      <c r="A7" s="71" t="s">
        <v>2</v>
      </c>
      <c r="B7" s="48"/>
      <c r="C7" s="48"/>
      <c r="D7" s="48"/>
      <c r="E7" s="48"/>
      <c r="F7" s="48"/>
      <c r="G7" s="48"/>
    </row>
    <row r="8" spans="1:7" ht="14.25" customHeight="1">
      <c r="A8" s="71" t="s">
        <v>3</v>
      </c>
      <c r="B8" s="48"/>
      <c r="C8" s="48"/>
      <c r="D8" s="48"/>
      <c r="E8" s="48"/>
      <c r="F8" s="48"/>
      <c r="G8" s="48"/>
    </row>
    <row r="9" spans="1:7" ht="14.25" customHeight="1">
      <c r="A9" s="71" t="s">
        <v>4</v>
      </c>
      <c r="B9" s="48"/>
      <c r="C9" s="48"/>
      <c r="D9" s="48"/>
      <c r="E9" s="48"/>
      <c r="F9" s="48"/>
      <c r="G9" s="48"/>
    </row>
    <row r="10" spans="1:7" ht="14.25" customHeight="1">
      <c r="A10" s="71" t="s">
        <v>5</v>
      </c>
      <c r="B10" s="48"/>
      <c r="C10" s="48"/>
      <c r="D10" s="48"/>
      <c r="E10" s="48"/>
      <c r="F10" s="48"/>
      <c r="G10" s="48"/>
    </row>
    <row r="11" spans="1:7" ht="14.25" customHeight="1">
      <c r="A11" s="66"/>
      <c r="B11" s="48"/>
      <c r="C11" s="48"/>
      <c r="D11" s="48"/>
      <c r="E11" s="48"/>
      <c r="F11" s="48"/>
      <c r="G11" s="48"/>
    </row>
    <row r="12" spans="1:7" ht="14.25" customHeight="1">
      <c r="A12" s="67" t="s">
        <v>6</v>
      </c>
      <c r="B12" s="48"/>
      <c r="C12" s="48"/>
      <c r="D12" s="48"/>
      <c r="E12" s="48"/>
      <c r="F12" s="48"/>
      <c r="G12" s="48"/>
    </row>
    <row r="13" spans="1:7" ht="14.25" customHeight="1">
      <c r="A13" s="67" t="s">
        <v>51</v>
      </c>
      <c r="B13" s="48"/>
      <c r="C13" s="48"/>
      <c r="D13" s="48"/>
      <c r="E13" s="48"/>
      <c r="F13" s="48"/>
      <c r="G13" s="48"/>
    </row>
    <row r="14" spans="1:7" ht="14.25" customHeight="1">
      <c r="A14" s="8"/>
      <c r="B14" s="8"/>
      <c r="C14" s="8"/>
      <c r="D14" s="8"/>
      <c r="E14" s="8"/>
      <c r="F14" s="8"/>
      <c r="G14" s="8"/>
    </row>
    <row r="15" spans="1:7" ht="14.25" customHeight="1">
      <c r="A15" s="8" t="s">
        <v>8</v>
      </c>
      <c r="B15" s="8"/>
      <c r="C15" s="9">
        <f>June!H45</f>
        <v>5582.59</v>
      </c>
      <c r="D15" s="8"/>
      <c r="E15" s="8"/>
      <c r="F15" s="8"/>
      <c r="G15" s="8"/>
    </row>
    <row r="16" spans="1:7" ht="14.25" customHeight="1">
      <c r="A16" s="8" t="s">
        <v>9</v>
      </c>
      <c r="B16" s="8"/>
      <c r="C16" s="8"/>
      <c r="D16" s="8"/>
      <c r="E16" s="8"/>
      <c r="F16" s="69">
        <v>68483.7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54498.7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13985</v>
      </c>
      <c r="G18" s="60"/>
    </row>
    <row r="19" spans="1:7" ht="14.2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950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1000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1300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1800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5050</v>
      </c>
      <c r="G28" s="48"/>
    </row>
    <row r="29" spans="1:7" ht="14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4.25" customHeight="1">
      <c r="A31" s="8" t="s">
        <v>22</v>
      </c>
      <c r="B31" s="8"/>
      <c r="C31" s="8"/>
      <c r="D31" s="8"/>
      <c r="E31" s="8"/>
      <c r="F31" s="8"/>
      <c r="G31" s="8"/>
    </row>
    <row r="32" spans="1:7" ht="14.2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8" ht="14.2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8" ht="14.2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8" ht="14.2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8" ht="14.25" customHeight="1">
      <c r="A36" s="11" t="s">
        <v>28</v>
      </c>
      <c r="B36" s="56"/>
      <c r="C36" s="48"/>
      <c r="D36" s="8"/>
      <c r="E36" s="8"/>
      <c r="F36" s="57">
        <f>F18-F28</f>
        <v>8935</v>
      </c>
      <c r="G36" s="48"/>
    </row>
    <row r="37" spans="1:8" ht="14.25" customHeight="1">
      <c r="A37" s="8"/>
      <c r="B37" s="8"/>
      <c r="C37" s="8"/>
      <c r="D37" s="8"/>
      <c r="E37" s="8"/>
      <c r="F37" s="8"/>
      <c r="G37" s="8"/>
    </row>
    <row r="38" spans="1:8" ht="14.25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8" ht="14.25" customHeight="1">
      <c r="A39" s="16" t="s">
        <v>35</v>
      </c>
      <c r="B39" s="17">
        <f>June!B45</f>
        <v>1842.97</v>
      </c>
      <c r="C39" s="18">
        <f>June!C45</f>
        <v>33.870000000000005</v>
      </c>
      <c r="D39" s="18">
        <f>June!D45</f>
        <v>715.04999999999973</v>
      </c>
      <c r="E39" s="18">
        <f>June!E45</f>
        <v>715</v>
      </c>
      <c r="F39" s="18">
        <f>June!F45</f>
        <v>93.299999999999955</v>
      </c>
      <c r="G39" s="19">
        <f>June!G45</f>
        <v>2182.4</v>
      </c>
    </row>
    <row r="40" spans="1:8" ht="14.25" customHeight="1">
      <c r="A40" s="16" t="s">
        <v>36</v>
      </c>
      <c r="B40" s="20"/>
      <c r="C40" s="21"/>
      <c r="D40" s="21"/>
      <c r="E40" s="21"/>
      <c r="F40" s="21"/>
      <c r="G40" s="22"/>
    </row>
    <row r="41" spans="1:8" ht="14.25" customHeight="1">
      <c r="A41" s="16" t="s">
        <v>37</v>
      </c>
      <c r="B41" s="23">
        <f>SUM(F36*0.35)</f>
        <v>3127.25</v>
      </c>
      <c r="C41" s="24">
        <f>SUM(F36*0.05)</f>
        <v>446.75</v>
      </c>
      <c r="D41" s="24">
        <f>SUM(F36*0.15)</f>
        <v>1340.25</v>
      </c>
      <c r="E41" s="24">
        <f>SUM(F36*0.25)</f>
        <v>2233.75</v>
      </c>
      <c r="F41" s="25">
        <f>SUM(F36*0.1)</f>
        <v>893.5</v>
      </c>
      <c r="G41" s="26">
        <f>SUM(F36*0.1)</f>
        <v>893.5</v>
      </c>
    </row>
    <row r="42" spans="1:8" ht="14.25" customHeight="1">
      <c r="A42" s="16" t="s">
        <v>38</v>
      </c>
      <c r="B42" s="20">
        <v>0</v>
      </c>
      <c r="C42" s="20">
        <v>0</v>
      </c>
      <c r="D42" s="20">
        <v>1850</v>
      </c>
      <c r="E42" s="20">
        <v>1900</v>
      </c>
      <c r="F42" s="20">
        <v>0</v>
      </c>
      <c r="G42" s="20">
        <v>0</v>
      </c>
    </row>
    <row r="43" spans="1:8" ht="14.25" customHeight="1">
      <c r="A43" s="28" t="s">
        <v>26</v>
      </c>
      <c r="B43" s="29"/>
      <c r="C43" s="30"/>
      <c r="D43" s="30"/>
      <c r="E43" s="30"/>
      <c r="F43" s="30"/>
      <c r="G43" s="31"/>
    </row>
    <row r="44" spans="1:8" ht="14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1850</v>
      </c>
      <c r="E44" s="34">
        <f t="shared" si="0"/>
        <v>1900</v>
      </c>
      <c r="F44" s="34">
        <f t="shared" si="0"/>
        <v>0</v>
      </c>
      <c r="G44" s="35">
        <f t="shared" si="0"/>
        <v>0</v>
      </c>
    </row>
    <row r="45" spans="1:8" ht="14.25" customHeight="1">
      <c r="A45" s="36" t="s">
        <v>40</v>
      </c>
      <c r="B45" s="17">
        <f t="shared" ref="B45:G45" si="1">SUM(B39:B41)-(B44)</f>
        <v>4970.22</v>
      </c>
      <c r="C45" s="18">
        <f t="shared" si="1"/>
        <v>480.62</v>
      </c>
      <c r="D45" s="18">
        <f t="shared" si="1"/>
        <v>205.29999999999973</v>
      </c>
      <c r="E45" s="18">
        <f t="shared" si="1"/>
        <v>1048.75</v>
      </c>
      <c r="F45" s="18">
        <f t="shared" si="1"/>
        <v>986.8</v>
      </c>
      <c r="G45" s="19">
        <f t="shared" si="1"/>
        <v>3075.9</v>
      </c>
      <c r="H45" s="27">
        <f>SUM(B45:G45)</f>
        <v>10767.59</v>
      </c>
    </row>
    <row r="46" spans="1:8" ht="14.2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8" ht="14.25" customHeight="1">
      <c r="A47" s="8"/>
      <c r="B47" s="8"/>
      <c r="C47" s="8"/>
      <c r="D47" s="8"/>
      <c r="E47" s="8"/>
      <c r="F47" s="8"/>
      <c r="G47" s="8"/>
    </row>
    <row r="48" spans="1:8" ht="14.2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4.25" customHeight="1">
      <c r="A49" s="8"/>
      <c r="B49" s="58"/>
      <c r="C49" s="48"/>
      <c r="D49" s="48"/>
      <c r="E49" s="41"/>
      <c r="F49" s="41"/>
      <c r="G49" s="41"/>
    </row>
    <row r="50" spans="1:7" ht="14.25" customHeight="1">
      <c r="A50" s="47" t="s">
        <v>44</v>
      </c>
      <c r="B50" s="48"/>
      <c r="E50" s="47" t="s">
        <v>45</v>
      </c>
      <c r="F50" s="48"/>
      <c r="G50" s="8"/>
    </row>
    <row r="51" spans="1:7" ht="14.25" customHeight="1">
      <c r="A51" s="49" t="s">
        <v>46</v>
      </c>
      <c r="B51" s="48"/>
      <c r="C51" s="8"/>
      <c r="E51" s="54" t="s">
        <v>47</v>
      </c>
      <c r="F51" s="48"/>
    </row>
    <row r="52" spans="1:7" ht="14.25" customHeight="1">
      <c r="G52" s="8"/>
    </row>
    <row r="53" spans="1:7" ht="14.25" customHeight="1">
      <c r="G53" s="8"/>
    </row>
    <row r="54" spans="1:7" ht="14.25" customHeight="1">
      <c r="A54" s="53"/>
      <c r="B54" s="48"/>
      <c r="C54" s="8" t="s">
        <v>48</v>
      </c>
      <c r="G54" s="43"/>
    </row>
    <row r="55" spans="1:7" ht="14.25" customHeight="1">
      <c r="A55" s="8"/>
      <c r="B55" s="8"/>
      <c r="C55" s="43"/>
    </row>
    <row r="56" spans="1:7" ht="14.25" customHeight="1">
      <c r="A56" s="47"/>
      <c r="B56" s="48"/>
      <c r="C56" s="44" t="s">
        <v>49</v>
      </c>
      <c r="G56" s="8"/>
    </row>
    <row r="57" spans="1:7" ht="14.25" customHeight="1">
      <c r="A57" s="49"/>
      <c r="B57" s="48"/>
      <c r="C57" s="2" t="s">
        <v>50</v>
      </c>
      <c r="G57" s="8"/>
    </row>
    <row r="58" spans="1:7" ht="14.25" customHeight="1">
      <c r="G58" s="8"/>
    </row>
    <row r="59" spans="1:7" ht="14.25" customHeight="1">
      <c r="A59" s="8"/>
      <c r="B59" s="8"/>
      <c r="C59" s="8"/>
      <c r="F59" s="6"/>
      <c r="G59" s="8"/>
    </row>
    <row r="60" spans="1:7" ht="14.25" customHeight="1">
      <c r="A60" s="8"/>
      <c r="B60" s="8"/>
      <c r="C60" s="8"/>
      <c r="D60" s="8"/>
      <c r="E60" s="8"/>
      <c r="F60" s="42"/>
      <c r="G60" s="8"/>
    </row>
    <row r="61" spans="1:7" ht="14.25" customHeight="1">
      <c r="A61" s="50"/>
      <c r="B61" s="51"/>
      <c r="C61" s="8"/>
      <c r="E61" s="50"/>
      <c r="F61" s="51"/>
      <c r="G61" s="8"/>
    </row>
    <row r="62" spans="1:7" ht="14.25" customHeight="1"/>
    <row r="63" spans="1:7" ht="14.25" customHeight="1"/>
    <row r="64" spans="1:7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1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A56:B56"/>
    <mergeCell ref="A57:B57"/>
    <mergeCell ref="A61:B61"/>
    <mergeCell ref="E61:F61"/>
    <mergeCell ref="F35:G35"/>
    <mergeCell ref="B36:C36"/>
    <mergeCell ref="F36:G36"/>
    <mergeCell ref="B49:D49"/>
    <mergeCell ref="A50:B50"/>
    <mergeCell ref="E50:F50"/>
    <mergeCell ref="E51:F51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27" workbookViewId="0">
      <selection activeCell="E45" sqref="E45"/>
    </sheetView>
  </sheetViews>
  <sheetFormatPr defaultColWidth="14.453125" defaultRowHeight="15" customHeight="1"/>
  <cols>
    <col min="1" max="1" width="18.54296875" customWidth="1"/>
    <col min="2" max="7" width="13.54296875" customWidth="1"/>
    <col min="8" max="8" width="8.984375E-2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>
        <f>July!H45</f>
        <v>10767.59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93243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74595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18648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1800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1600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2300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5700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12948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4970.22</v>
      </c>
      <c r="C39" s="17">
        <f>July!C45</f>
        <v>480.62</v>
      </c>
      <c r="D39" s="17">
        <f>July!D45</f>
        <v>205.29999999999973</v>
      </c>
      <c r="E39" s="17">
        <f>July!E45</f>
        <v>1048.75</v>
      </c>
      <c r="F39" s="17">
        <f>July!F45</f>
        <v>986.8</v>
      </c>
      <c r="G39" s="17">
        <f>July!G45</f>
        <v>3075.9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4531.7999999999993</v>
      </c>
      <c r="C41" s="24">
        <f>SUM(F36*0.05)</f>
        <v>647.40000000000009</v>
      </c>
      <c r="D41" s="24">
        <f>SUM(F36*0.15)</f>
        <v>1942.1999999999998</v>
      </c>
      <c r="E41" s="24">
        <f>SUM(F36*0.25)</f>
        <v>3237</v>
      </c>
      <c r="F41" s="25">
        <f>SUM(F36*0.1)</f>
        <v>1294.8000000000002</v>
      </c>
      <c r="G41" s="26">
        <f>SUM(F36*0.1)</f>
        <v>1294.8000000000002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2100</v>
      </c>
      <c r="E42" s="20">
        <v>2800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2100</v>
      </c>
      <c r="E44" s="34">
        <f t="shared" si="0"/>
        <v>2800</v>
      </c>
      <c r="F44" s="34">
        <f t="shared" si="0"/>
        <v>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9502.02</v>
      </c>
      <c r="C45" s="18">
        <f t="shared" si="1"/>
        <v>1128.02</v>
      </c>
      <c r="D45" s="18">
        <f t="shared" si="1"/>
        <v>47.499999999999545</v>
      </c>
      <c r="E45" s="18">
        <f t="shared" si="1"/>
        <v>1485.75</v>
      </c>
      <c r="F45" s="18">
        <f t="shared" si="1"/>
        <v>2281.6000000000004</v>
      </c>
      <c r="G45" s="19">
        <f t="shared" si="1"/>
        <v>4370.7000000000007</v>
      </c>
      <c r="H45" s="27">
        <f>SUM(B45:G45)</f>
        <v>18815.590000000004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7" workbookViewId="0">
      <selection activeCell="G45" sqref="G45"/>
    </sheetView>
  </sheetViews>
  <sheetFormatPr defaultColWidth="14.453125" defaultRowHeight="15" customHeight="1"/>
  <cols>
    <col min="1" max="1" width="18.54296875" customWidth="1"/>
    <col min="2" max="6" width="13.54296875" customWidth="1"/>
    <col min="7" max="7" width="12.90625" customWidth="1"/>
    <col min="8" max="8" width="15.54296875" hidden="1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18815.590000000004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89345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72476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16869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1900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2200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2100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6200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10669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9502.02</v>
      </c>
      <c r="C39" s="17">
        <f>August!C45</f>
        <v>1128.02</v>
      </c>
      <c r="D39" s="17">
        <f>August!D45</f>
        <v>47.499999999999545</v>
      </c>
      <c r="E39" s="17">
        <f>August!E45</f>
        <v>1485.75</v>
      </c>
      <c r="F39" s="17">
        <f>August!F45</f>
        <v>2281.6000000000004</v>
      </c>
      <c r="G39" s="17">
        <f>August!G45</f>
        <v>4370.7000000000007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3734.1499999999996</v>
      </c>
      <c r="C41" s="24">
        <f>SUM(F36*0.05)</f>
        <v>533.45000000000005</v>
      </c>
      <c r="D41" s="24">
        <f>SUM(F36*0.15)</f>
        <v>1600.35</v>
      </c>
      <c r="E41" s="24">
        <f>SUM(F36*0.25)</f>
        <v>2667.25</v>
      </c>
      <c r="F41" s="25">
        <f>SUM(F36*0.1)</f>
        <v>1066.9000000000001</v>
      </c>
      <c r="G41" s="26">
        <f>SUM(F36*0.1)</f>
        <v>1066.9000000000001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1500</v>
      </c>
      <c r="E42" s="20">
        <v>2670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1500</v>
      </c>
      <c r="E44" s="34">
        <f t="shared" si="0"/>
        <v>2670</v>
      </c>
      <c r="F44" s="34">
        <f t="shared" si="0"/>
        <v>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13236.17</v>
      </c>
      <c r="C45" s="18">
        <f t="shared" si="1"/>
        <v>1661.47</v>
      </c>
      <c r="D45" s="18">
        <f t="shared" si="1"/>
        <v>147.84999999999945</v>
      </c>
      <c r="E45" s="18">
        <f t="shared" si="1"/>
        <v>1483</v>
      </c>
      <c r="F45" s="18">
        <f t="shared" si="1"/>
        <v>3348.5000000000005</v>
      </c>
      <c r="G45" s="19">
        <f t="shared" si="1"/>
        <v>5437.6</v>
      </c>
      <c r="H45" s="27">
        <f>SUM(B45:G45)</f>
        <v>25314.589999999997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53125" defaultRowHeight="15" customHeight="1"/>
  <cols>
    <col min="1" max="1" width="18.54296875" customWidth="1"/>
    <col min="2" max="7" width="13.54296875" customWidth="1"/>
    <col min="8" max="8" width="10.90625" hidden="1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5">
      <c r="A13" s="67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5">
      <c r="A14" s="8"/>
      <c r="B14" s="8"/>
      <c r="C14" s="8"/>
      <c r="D14" s="8"/>
      <c r="E14" s="8"/>
      <c r="F14" s="8"/>
      <c r="G14" s="8"/>
    </row>
    <row r="15" spans="1:26" ht="14.5">
      <c r="A15" s="8" t="s">
        <v>8</v>
      </c>
      <c r="B15" s="8"/>
      <c r="C15" s="9">
        <f>September!H45</f>
        <v>25314.589999999997</v>
      </c>
      <c r="D15" s="8"/>
      <c r="E15" s="8"/>
      <c r="F15" s="8"/>
      <c r="G15" s="8"/>
    </row>
    <row r="16" spans="1:26" ht="14.5">
      <c r="A16" s="8" t="s">
        <v>9</v>
      </c>
      <c r="B16" s="8"/>
      <c r="C16" s="8"/>
      <c r="D16" s="8"/>
      <c r="E16" s="8"/>
      <c r="F16" s="69">
        <v>70345</v>
      </c>
      <c r="G16" s="60"/>
    </row>
    <row r="17" spans="1:7" ht="14.5">
      <c r="A17" s="8" t="s">
        <v>10</v>
      </c>
      <c r="B17" s="8"/>
      <c r="C17" s="8"/>
      <c r="D17" s="8"/>
      <c r="E17" s="8"/>
      <c r="F17" s="69">
        <v>54345</v>
      </c>
      <c r="G17" s="60"/>
    </row>
    <row r="18" spans="1:7" ht="14.5">
      <c r="A18" s="8" t="s">
        <v>11</v>
      </c>
      <c r="B18" s="8"/>
      <c r="C18" s="8"/>
      <c r="D18" s="8"/>
      <c r="E18" s="8"/>
      <c r="F18" s="63">
        <f>F16-F17</f>
        <v>16000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5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64"/>
      <c r="G21" s="51"/>
    </row>
    <row r="22" spans="1:7" ht="15.75" customHeight="1">
      <c r="A22" s="8"/>
      <c r="B22" s="8" t="s">
        <v>14</v>
      </c>
      <c r="C22" s="8"/>
      <c r="D22" s="8"/>
      <c r="E22" s="8"/>
      <c r="F22" s="59">
        <v>400</v>
      </c>
      <c r="G22" s="60"/>
    </row>
    <row r="23" spans="1:7" ht="15.75" customHeight="1">
      <c r="A23" s="8"/>
      <c r="B23" s="8" t="s">
        <v>15</v>
      </c>
      <c r="C23" s="8"/>
      <c r="D23" s="8"/>
      <c r="E23" s="8"/>
      <c r="F23" s="65">
        <v>915</v>
      </c>
      <c r="G23" s="60"/>
    </row>
    <row r="24" spans="1:7" ht="15.75" customHeight="1">
      <c r="A24" s="8"/>
      <c r="B24" s="8" t="s">
        <v>16</v>
      </c>
      <c r="C24" s="8"/>
      <c r="D24" s="8"/>
      <c r="E24" s="8"/>
      <c r="F24" s="59">
        <v>2600</v>
      </c>
      <c r="G24" s="60"/>
    </row>
    <row r="25" spans="1:7" ht="15.75" customHeight="1">
      <c r="A25" s="8"/>
      <c r="B25" s="8" t="s">
        <v>17</v>
      </c>
      <c r="C25" s="8"/>
      <c r="D25" s="8"/>
      <c r="E25" s="8"/>
      <c r="F25" s="59"/>
      <c r="G25" s="60"/>
    </row>
    <row r="26" spans="1:7" ht="15.75" customHeight="1">
      <c r="A26" s="8"/>
      <c r="B26" s="8" t="s">
        <v>18</v>
      </c>
      <c r="C26" s="8"/>
      <c r="D26" s="8"/>
      <c r="E26" s="8"/>
      <c r="F26" s="59"/>
      <c r="G26" s="60"/>
    </row>
    <row r="27" spans="1:7" ht="15.7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5.75" customHeight="1">
      <c r="A28" s="8" t="s">
        <v>20</v>
      </c>
      <c r="B28" s="8"/>
      <c r="C28" s="8"/>
      <c r="D28" s="8"/>
      <c r="E28" s="8"/>
      <c r="F28" s="61">
        <f>SUM(F22:G27)</f>
        <v>3915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12085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13236.17</v>
      </c>
      <c r="C39" s="17">
        <f>September!C45</f>
        <v>1661.47</v>
      </c>
      <c r="D39" s="17">
        <f>September!D45</f>
        <v>147.84999999999945</v>
      </c>
      <c r="E39" s="17">
        <f>September!E45</f>
        <v>1483</v>
      </c>
      <c r="F39" s="17">
        <f>September!F45</f>
        <v>3348.5000000000005</v>
      </c>
      <c r="G39" s="17">
        <f>September!G45</f>
        <v>5437.6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4229.75</v>
      </c>
      <c r="C41" s="24">
        <f>SUM(F36*0.05)</f>
        <v>604.25</v>
      </c>
      <c r="D41" s="24">
        <f>SUM(F36*0.15)</f>
        <v>1812.75</v>
      </c>
      <c r="E41" s="24">
        <f>SUM(F36*0.25)</f>
        <v>3021.25</v>
      </c>
      <c r="F41" s="25">
        <f>SUM(F36*0.1)</f>
        <v>1208.5</v>
      </c>
      <c r="G41" s="26">
        <f>SUM(F36*0.1)</f>
        <v>1208.5</v>
      </c>
      <c r="I41" s="27"/>
    </row>
    <row r="42" spans="1:9" ht="30" customHeight="1">
      <c r="A42" s="16" t="s">
        <v>38</v>
      </c>
      <c r="B42" s="20">
        <v>0</v>
      </c>
      <c r="C42" s="20">
        <v>243</v>
      </c>
      <c r="D42" s="20">
        <v>1650</v>
      </c>
      <c r="E42" s="20">
        <v>2600</v>
      </c>
      <c r="F42" s="20">
        <v>600</v>
      </c>
      <c r="G42" s="20">
        <v>1500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243</v>
      </c>
      <c r="D44" s="34">
        <f t="shared" si="0"/>
        <v>1650</v>
      </c>
      <c r="E44" s="34">
        <f t="shared" si="0"/>
        <v>2600</v>
      </c>
      <c r="F44" s="34">
        <f t="shared" si="0"/>
        <v>600</v>
      </c>
      <c r="G44" s="35">
        <f t="shared" si="0"/>
        <v>1500</v>
      </c>
    </row>
    <row r="45" spans="1:9" ht="21" customHeight="1">
      <c r="A45" s="36" t="s">
        <v>40</v>
      </c>
      <c r="B45" s="17">
        <f t="shared" ref="B45:G45" si="1">SUM(B39:B41)-(B44)</f>
        <v>17465.919999999998</v>
      </c>
      <c r="C45" s="18">
        <f t="shared" si="1"/>
        <v>2022.7200000000003</v>
      </c>
      <c r="D45" s="18">
        <f t="shared" si="1"/>
        <v>310.59999999999945</v>
      </c>
      <c r="E45" s="18">
        <f t="shared" si="1"/>
        <v>1904.25</v>
      </c>
      <c r="F45" s="18">
        <f t="shared" si="1"/>
        <v>3957</v>
      </c>
      <c r="G45" s="19">
        <f t="shared" si="1"/>
        <v>5146.1000000000004</v>
      </c>
      <c r="H45" s="27">
        <f>SUM(B45:G45)</f>
        <v>30806.589999999997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53125" defaultRowHeight="15" customHeight="1"/>
  <cols>
    <col min="1" max="1" width="18.54296875" customWidth="1"/>
    <col min="2" max="6" width="13.54296875" customWidth="1"/>
    <col min="7" max="7" width="11.54296875" customWidth="1"/>
    <col min="8" max="8" width="8.984375E-2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30806.589999999997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190480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163840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26640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300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1830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1480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6500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10110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16530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17465.919999999998</v>
      </c>
      <c r="C39" s="17">
        <f>October!C45</f>
        <v>2022.7200000000003</v>
      </c>
      <c r="D39" s="17">
        <f>October!D45</f>
        <v>310.59999999999945</v>
      </c>
      <c r="E39" s="17">
        <f>October!E45</f>
        <v>1904.25</v>
      </c>
      <c r="F39" s="17">
        <f>October!F45</f>
        <v>3957</v>
      </c>
      <c r="G39" s="17">
        <f>October!G45</f>
        <v>5146.1000000000004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5785.5</v>
      </c>
      <c r="C41" s="24">
        <f>SUM(F36*0.05)</f>
        <v>826.5</v>
      </c>
      <c r="D41" s="24">
        <f>SUM(F36*0.15)</f>
        <v>2479.5</v>
      </c>
      <c r="E41" s="24">
        <f>SUM(F36*0.25)</f>
        <v>4132.5</v>
      </c>
      <c r="F41" s="25">
        <f>SUM(F36*0.1)</f>
        <v>1653</v>
      </c>
      <c r="G41" s="26">
        <f>SUM(F36*0.1)</f>
        <v>1653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2000</v>
      </c>
      <c r="E42" s="20">
        <v>3500</v>
      </c>
      <c r="F42" s="20">
        <v>1800</v>
      </c>
      <c r="G42" s="20">
        <v>2500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2000</v>
      </c>
      <c r="E44" s="34">
        <f t="shared" si="0"/>
        <v>3500</v>
      </c>
      <c r="F44" s="34">
        <f t="shared" si="0"/>
        <v>1800</v>
      </c>
      <c r="G44" s="35">
        <f t="shared" si="0"/>
        <v>2500</v>
      </c>
    </row>
    <row r="45" spans="1:9" ht="21" customHeight="1">
      <c r="A45" s="36" t="s">
        <v>40</v>
      </c>
      <c r="B45" s="17">
        <f t="shared" ref="B45:G45" si="1">SUM(B39:B41)-(B44)</f>
        <v>23251.42</v>
      </c>
      <c r="C45" s="18">
        <f t="shared" si="1"/>
        <v>2849.2200000000003</v>
      </c>
      <c r="D45" s="18">
        <f t="shared" si="1"/>
        <v>790.09999999999945</v>
      </c>
      <c r="E45" s="18">
        <f t="shared" si="1"/>
        <v>2536.75</v>
      </c>
      <c r="F45" s="18">
        <f t="shared" si="1"/>
        <v>3810</v>
      </c>
      <c r="G45" s="19">
        <f t="shared" si="1"/>
        <v>4299.1000000000004</v>
      </c>
      <c r="H45" s="27">
        <f>SUM(B45:G45)</f>
        <v>37536.589999999997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53125" defaultRowHeight="15" customHeight="1"/>
  <cols>
    <col min="1" max="1" width="18.54296875" customWidth="1"/>
    <col min="2" max="6" width="13.54296875" customWidth="1"/>
    <col min="7" max="7" width="11.54296875" customWidth="1"/>
    <col min="8" max="8" width="1.08984375" hidden="1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37536.589999999997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85165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68038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17127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915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1800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6800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9515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7612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23251.42</v>
      </c>
      <c r="C39" s="17">
        <f>November!C45</f>
        <v>2849.2200000000003</v>
      </c>
      <c r="D39" s="17">
        <f>November!D45</f>
        <v>790.09999999999945</v>
      </c>
      <c r="E39" s="17">
        <f>November!E45</f>
        <v>2536.75</v>
      </c>
      <c r="F39" s="17">
        <f>November!F45</f>
        <v>3810</v>
      </c>
      <c r="G39" s="17">
        <f>November!G45</f>
        <v>4299.1000000000004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2664.2</v>
      </c>
      <c r="C41" s="24">
        <f>SUM(F36*0.05)</f>
        <v>380.6</v>
      </c>
      <c r="D41" s="24">
        <f>SUM(F36*0.15)</f>
        <v>1141.8</v>
      </c>
      <c r="E41" s="24">
        <f>SUM(F36*0.25)</f>
        <v>1903</v>
      </c>
      <c r="F41" s="25">
        <f>SUM(F36*0.1)</f>
        <v>761.2</v>
      </c>
      <c r="G41" s="26">
        <f>SUM(F36*0.1)</f>
        <v>761.2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1600</v>
      </c>
      <c r="E42" s="20">
        <v>2300</v>
      </c>
      <c r="F42" s="20">
        <v>3600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1600</v>
      </c>
      <c r="E44" s="34">
        <f t="shared" si="0"/>
        <v>2300</v>
      </c>
      <c r="F44" s="34">
        <f t="shared" si="0"/>
        <v>3600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25915.62</v>
      </c>
      <c r="C45" s="18">
        <f t="shared" si="1"/>
        <v>3229.82</v>
      </c>
      <c r="D45" s="18">
        <f t="shared" si="1"/>
        <v>331.89999999999941</v>
      </c>
      <c r="E45" s="18">
        <f t="shared" si="1"/>
        <v>2139.75</v>
      </c>
      <c r="F45" s="18">
        <f t="shared" si="1"/>
        <v>971.19999999999982</v>
      </c>
      <c r="G45" s="19">
        <f t="shared" si="1"/>
        <v>5060.3</v>
      </c>
      <c r="H45" s="27">
        <f>SUM(B45:G45)</f>
        <v>37648.589999999997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topLeftCell="A37" workbookViewId="0">
      <selection activeCell="E44" sqref="E44"/>
    </sheetView>
  </sheetViews>
  <sheetFormatPr defaultColWidth="14.453125" defaultRowHeight="15" customHeight="1"/>
  <cols>
    <col min="1" max="1" width="18.54296875" customWidth="1"/>
    <col min="2" max="7" width="13.54296875" customWidth="1"/>
    <col min="8" max="8" width="8.984375E-2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37648.589999999997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208342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179482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28860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450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2890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3650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2300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2800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11640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17220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25915.62</v>
      </c>
      <c r="C39" s="17">
        <f>December!C45</f>
        <v>3229.82</v>
      </c>
      <c r="D39" s="17">
        <f>December!D45</f>
        <v>331.89999999999941</v>
      </c>
      <c r="E39" s="17">
        <f>December!E45</f>
        <v>2139.75</v>
      </c>
      <c r="F39" s="17">
        <f>December!F45</f>
        <v>971.19999999999982</v>
      </c>
      <c r="G39" s="17">
        <f>December!G45</f>
        <v>5060.3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6027</v>
      </c>
      <c r="C41" s="24">
        <f>SUM(F36*0.05)</f>
        <v>861</v>
      </c>
      <c r="D41" s="24">
        <f>SUM(F36*0.15)</f>
        <v>2583</v>
      </c>
      <c r="E41" s="24">
        <f>SUM(F36*0.25)</f>
        <v>4305</v>
      </c>
      <c r="F41" s="25">
        <f>SUM(F36*0.1)</f>
        <v>1722</v>
      </c>
      <c r="G41" s="26">
        <f>SUM(F36*0.1)</f>
        <v>1722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5180</v>
      </c>
      <c r="F42" s="20">
        <v>2560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0</v>
      </c>
      <c r="E44" s="34">
        <f t="shared" si="0"/>
        <v>5180</v>
      </c>
      <c r="F44" s="34">
        <f t="shared" si="0"/>
        <v>2560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31942.62</v>
      </c>
      <c r="C45" s="18">
        <f t="shared" si="1"/>
        <v>4090.82</v>
      </c>
      <c r="D45" s="18">
        <f t="shared" si="1"/>
        <v>2914.8999999999996</v>
      </c>
      <c r="E45" s="18">
        <f t="shared" si="1"/>
        <v>1264.75</v>
      </c>
      <c r="F45" s="18">
        <f t="shared" si="1"/>
        <v>133.19999999999982</v>
      </c>
      <c r="G45" s="19">
        <f t="shared" si="1"/>
        <v>6782.3</v>
      </c>
      <c r="H45" s="27">
        <f>SUM(B45:G45)</f>
        <v>47128.590000000004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53125" defaultRowHeight="15" customHeight="1"/>
  <cols>
    <col min="1" max="1" width="18.54296875" customWidth="1"/>
    <col min="2" max="7" width="13.54296875" customWidth="1"/>
    <col min="8" max="8" width="8.984375E-2" customWidth="1"/>
    <col min="9" max="9" width="11.54296875" customWidth="1"/>
    <col min="10" max="26" width="8.54296875" customWidth="1"/>
  </cols>
  <sheetData>
    <row r="1" spans="1:26" ht="15" customHeight="1">
      <c r="A1" s="70"/>
      <c r="B1" s="48"/>
      <c r="C1" s="48"/>
      <c r="D1" s="48"/>
      <c r="E1" s="48"/>
      <c r="F1" s="48"/>
      <c r="G1" s="48"/>
      <c r="H1" s="1"/>
    </row>
    <row r="2" spans="1:26" ht="15" customHeight="1">
      <c r="A2" s="71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47128.590000000004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/>
      <c r="G16" s="60"/>
    </row>
    <row r="17" spans="1:7" ht="14.25" customHeight="1">
      <c r="A17" s="8" t="s">
        <v>10</v>
      </c>
      <c r="B17" s="8"/>
      <c r="C17" s="8"/>
      <c r="D17" s="8"/>
      <c r="E17" s="8"/>
      <c r="F17" s="69"/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/>
      <c r="G22" s="60"/>
    </row>
    <row r="23" spans="1:7" ht="14.25" customHeight="1">
      <c r="A23" s="8"/>
      <c r="B23" s="8" t="s">
        <v>15</v>
      </c>
      <c r="C23" s="8"/>
      <c r="D23" s="8"/>
      <c r="E23" s="8"/>
      <c r="F23" s="65"/>
      <c r="G23" s="60"/>
    </row>
    <row r="24" spans="1:7" ht="14.25" customHeight="1">
      <c r="A24" s="8"/>
      <c r="B24" s="8" t="s">
        <v>16</v>
      </c>
      <c r="C24" s="8"/>
      <c r="D24" s="8"/>
      <c r="E24" s="8"/>
      <c r="F24" s="59"/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31942.62</v>
      </c>
      <c r="C39" s="17">
        <f>January!C45</f>
        <v>4090.82</v>
      </c>
      <c r="D39" s="17">
        <f>January!D45</f>
        <v>2914.8999999999996</v>
      </c>
      <c r="E39" s="17">
        <f>January!E45</f>
        <v>1264.75</v>
      </c>
      <c r="F39" s="17">
        <f>January!F45</f>
        <v>133.19999999999982</v>
      </c>
      <c r="G39" s="17">
        <f>January!G45</f>
        <v>6782.3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0</v>
      </c>
      <c r="C41" s="24">
        <f>SUM(F36*0.05)</f>
        <v>0</v>
      </c>
      <c r="D41" s="24">
        <f>SUM(F36*0.15)</f>
        <v>0</v>
      </c>
      <c r="E41" s="24">
        <f>SUM(F36*0.25)</f>
        <v>0</v>
      </c>
      <c r="F41" s="25">
        <f>SUM(F36*0.1)</f>
        <v>0</v>
      </c>
      <c r="G41" s="26">
        <f>SUM(F36*0.1)</f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0</v>
      </c>
      <c r="E44" s="34">
        <f t="shared" si="0"/>
        <v>0</v>
      </c>
      <c r="F44" s="34">
        <f t="shared" si="0"/>
        <v>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31942.62</v>
      </c>
      <c r="C45" s="18">
        <f t="shared" si="1"/>
        <v>4090.82</v>
      </c>
      <c r="D45" s="18">
        <f t="shared" si="1"/>
        <v>2914.8999999999996</v>
      </c>
      <c r="E45" s="18">
        <f t="shared" si="1"/>
        <v>1264.75</v>
      </c>
      <c r="F45" s="18">
        <f t="shared" si="1"/>
        <v>133.19999999999982</v>
      </c>
      <c r="G45" s="19">
        <f t="shared" si="1"/>
        <v>6782.3</v>
      </c>
      <c r="H45" s="27">
        <f>SUM(B45:G45)</f>
        <v>47128.590000000004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53125" defaultRowHeight="15" customHeight="1"/>
  <cols>
    <col min="1" max="1" width="18.54296875" customWidth="1"/>
    <col min="2" max="7" width="13.54296875" customWidth="1"/>
    <col min="8" max="8" width="0.36328125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47128.590000000004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/>
      <c r="G16" s="60"/>
    </row>
    <row r="17" spans="1:7" ht="14.25" customHeight="1">
      <c r="A17" s="8" t="s">
        <v>10</v>
      </c>
      <c r="B17" s="8"/>
      <c r="C17" s="8"/>
      <c r="D17" s="8"/>
      <c r="E17" s="8"/>
      <c r="F17" s="69"/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/>
      <c r="G22" s="60"/>
    </row>
    <row r="23" spans="1:7" ht="14.25" customHeight="1">
      <c r="A23" s="8"/>
      <c r="B23" s="8" t="s">
        <v>15</v>
      </c>
      <c r="C23" s="8"/>
      <c r="D23" s="8"/>
      <c r="E23" s="8"/>
      <c r="F23" s="65"/>
      <c r="G23" s="60"/>
    </row>
    <row r="24" spans="1:7" ht="14.25" customHeight="1">
      <c r="A24" s="8"/>
      <c r="B24" s="8" t="s">
        <v>16</v>
      </c>
      <c r="C24" s="8"/>
      <c r="D24" s="8"/>
      <c r="E24" s="8"/>
      <c r="F24" s="59"/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31942.62</v>
      </c>
      <c r="C39" s="17">
        <f>February!C45</f>
        <v>4090.82</v>
      </c>
      <c r="D39" s="17">
        <f>February!D45</f>
        <v>2914.8999999999996</v>
      </c>
      <c r="E39" s="17">
        <f>February!E45</f>
        <v>1264.75</v>
      </c>
      <c r="F39" s="17">
        <f>February!F45</f>
        <v>133.19999999999982</v>
      </c>
      <c r="G39" s="17">
        <f>February!G45</f>
        <v>6782.3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0</v>
      </c>
      <c r="C41" s="24">
        <f>SUM(F36*0.05)</f>
        <v>0</v>
      </c>
      <c r="D41" s="24">
        <f>SUM(F36*0.15)</f>
        <v>0</v>
      </c>
      <c r="E41" s="24">
        <f>SUM(F36*0.25)</f>
        <v>0</v>
      </c>
      <c r="F41" s="25">
        <f>SUM(F36*0.1)</f>
        <v>0</v>
      </c>
      <c r="G41" s="26">
        <f>SUM(F36*0.1)</f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0</v>
      </c>
      <c r="E44" s="34">
        <f t="shared" si="0"/>
        <v>0</v>
      </c>
      <c r="F44" s="34">
        <f t="shared" si="0"/>
        <v>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31942.62</v>
      </c>
      <c r="C45" s="18">
        <f t="shared" si="1"/>
        <v>4090.82</v>
      </c>
      <c r="D45" s="18">
        <f t="shared" si="1"/>
        <v>2914.8999999999996</v>
      </c>
      <c r="E45" s="18">
        <f t="shared" si="1"/>
        <v>1264.75</v>
      </c>
      <c r="F45" s="18">
        <f t="shared" si="1"/>
        <v>133.19999999999982</v>
      </c>
      <c r="G45" s="19">
        <f t="shared" si="1"/>
        <v>6782.3</v>
      </c>
      <c r="H45" s="27">
        <f>SUM(B45:G45)</f>
        <v>47128.590000000004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53125" defaultRowHeight="15" customHeight="1"/>
  <cols>
    <col min="1" max="1" width="18.54296875" customWidth="1"/>
    <col min="2" max="6" width="13.54296875" customWidth="1"/>
    <col min="7" max="7" width="13.453125" customWidth="1"/>
    <col min="8" max="8" width="10.90625" hidden="1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47128.590000000004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/>
      <c r="G16" s="60"/>
    </row>
    <row r="17" spans="1:7" ht="14.25" customHeight="1">
      <c r="A17" s="8" t="s">
        <v>10</v>
      </c>
      <c r="B17" s="8"/>
      <c r="C17" s="8"/>
      <c r="D17" s="8"/>
      <c r="E17" s="8"/>
      <c r="F17" s="69"/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/>
      <c r="G22" s="60"/>
    </row>
    <row r="23" spans="1:7" ht="14.25" customHeight="1">
      <c r="A23" s="8"/>
      <c r="B23" s="8" t="s">
        <v>15</v>
      </c>
      <c r="C23" s="8"/>
      <c r="D23" s="8"/>
      <c r="E23" s="8"/>
      <c r="F23" s="65"/>
      <c r="G23" s="60"/>
    </row>
    <row r="24" spans="1:7" ht="14.25" customHeight="1">
      <c r="A24" s="8"/>
      <c r="B24" s="8" t="s">
        <v>16</v>
      </c>
      <c r="C24" s="8"/>
      <c r="D24" s="8"/>
      <c r="E24" s="8"/>
      <c r="F24" s="59"/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31942.62</v>
      </c>
      <c r="C39" s="17">
        <f>March!C45</f>
        <v>4090.82</v>
      </c>
      <c r="D39" s="17">
        <f>March!D45</f>
        <v>2914.8999999999996</v>
      </c>
      <c r="E39" s="17">
        <f>March!E45</f>
        <v>1264.75</v>
      </c>
      <c r="F39" s="17">
        <f>March!F45</f>
        <v>133.19999999999982</v>
      </c>
      <c r="G39" s="17">
        <f>March!G45</f>
        <v>6782.3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0</v>
      </c>
      <c r="C41" s="24">
        <f>SUM(F36*0.05)</f>
        <v>0</v>
      </c>
      <c r="D41" s="24">
        <f>SUM(F36*0.15)</f>
        <v>0</v>
      </c>
      <c r="E41" s="24">
        <f>SUM(F36*0.25)</f>
        <v>0</v>
      </c>
      <c r="F41" s="25">
        <f>SUM(F36*0.1)</f>
        <v>0</v>
      </c>
      <c r="G41" s="26">
        <f>SUM(F36*0.1)</f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0</v>
      </c>
      <c r="E44" s="34">
        <f t="shared" si="0"/>
        <v>0</v>
      </c>
      <c r="F44" s="34">
        <f t="shared" si="0"/>
        <v>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31942.62</v>
      </c>
      <c r="C45" s="18">
        <f t="shared" si="1"/>
        <v>4090.82</v>
      </c>
      <c r="D45" s="18">
        <f t="shared" si="1"/>
        <v>2914.8999999999996</v>
      </c>
      <c r="E45" s="18">
        <f t="shared" si="1"/>
        <v>1264.75</v>
      </c>
      <c r="F45" s="18">
        <f t="shared" si="1"/>
        <v>133.19999999999982</v>
      </c>
      <c r="G45" s="19">
        <f t="shared" si="1"/>
        <v>6782.3</v>
      </c>
      <c r="H45" s="27">
        <f>SUM(B45:G45)</f>
        <v>47128.590000000004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53125" defaultRowHeight="15" customHeight="1"/>
  <cols>
    <col min="1" max="1" width="18.54296875" customWidth="1"/>
    <col min="2" max="7" width="13.54296875" customWidth="1"/>
    <col min="8" max="8" width="0.453125" customWidth="1"/>
    <col min="9" max="9" width="11.54296875" customWidth="1"/>
    <col min="10" max="26" width="8.5429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47128.590000000004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/>
      <c r="G16" s="60"/>
    </row>
    <row r="17" spans="1:7" ht="14.25" customHeight="1">
      <c r="A17" s="8" t="s">
        <v>10</v>
      </c>
      <c r="B17" s="8"/>
      <c r="C17" s="8"/>
      <c r="D17" s="8"/>
      <c r="E17" s="8"/>
      <c r="F17" s="69"/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/>
      <c r="G21" s="51"/>
    </row>
    <row r="22" spans="1:7" ht="14.25" customHeight="1">
      <c r="A22" s="8"/>
      <c r="B22" s="8" t="s">
        <v>14</v>
      </c>
      <c r="C22" s="8"/>
      <c r="D22" s="8"/>
      <c r="E22" s="8"/>
      <c r="F22" s="59"/>
      <c r="G22" s="60"/>
    </row>
    <row r="23" spans="1:7" ht="14.25" customHeight="1">
      <c r="A23" s="8"/>
      <c r="B23" s="8" t="s">
        <v>15</v>
      </c>
      <c r="C23" s="8"/>
      <c r="D23" s="8"/>
      <c r="E23" s="8"/>
      <c r="F23" s="65"/>
      <c r="G23" s="60"/>
    </row>
    <row r="24" spans="1:7" ht="14.25" customHeight="1">
      <c r="A24" s="8"/>
      <c r="B24" s="8" t="s">
        <v>16</v>
      </c>
      <c r="C24" s="8"/>
      <c r="D24" s="8"/>
      <c r="E24" s="8"/>
      <c r="F24" s="59"/>
      <c r="G24" s="60"/>
    </row>
    <row r="25" spans="1:7" ht="14.25" customHeight="1">
      <c r="A25" s="8"/>
      <c r="B25" s="8" t="s">
        <v>17</v>
      </c>
      <c r="C25" s="8"/>
      <c r="D25" s="8"/>
      <c r="E25" s="8"/>
      <c r="F25" s="59"/>
      <c r="G25" s="60"/>
    </row>
    <row r="26" spans="1:7" ht="14.25" customHeight="1">
      <c r="A26" s="8"/>
      <c r="B26" s="8" t="s">
        <v>18</v>
      </c>
      <c r="C26" s="8"/>
      <c r="D26" s="8"/>
      <c r="E26" s="8"/>
      <c r="F26" s="59"/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SUM(F22:G27)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31942.62</v>
      </c>
      <c r="C39" s="17">
        <f>April!C45</f>
        <v>4090.82</v>
      </c>
      <c r="D39" s="17">
        <f>April!D45</f>
        <v>2914.8999999999996</v>
      </c>
      <c r="E39" s="17">
        <f>April!E45</f>
        <v>1264.75</v>
      </c>
      <c r="F39" s="17">
        <f>April!F45</f>
        <v>133.19999999999982</v>
      </c>
      <c r="G39" s="17">
        <f>April!G45</f>
        <v>6782.3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f>SUM(F36*0.35)</f>
        <v>0</v>
      </c>
      <c r="C41" s="24">
        <f>SUM(F36*0.05)</f>
        <v>0</v>
      </c>
      <c r="D41" s="24">
        <f>SUM(F36*0.15)</f>
        <v>0</v>
      </c>
      <c r="E41" s="24">
        <f>SUM(F36*0.25)</f>
        <v>0</v>
      </c>
      <c r="F41" s="25">
        <f>SUM(F36*0.1)</f>
        <v>0</v>
      </c>
      <c r="G41" s="26">
        <f>SUM(F36*0.1)</f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f t="shared" ref="B44:G44" si="0">SUM(B42:B43)</f>
        <v>0</v>
      </c>
      <c r="C44" s="34">
        <f t="shared" si="0"/>
        <v>0</v>
      </c>
      <c r="D44" s="34">
        <f t="shared" si="0"/>
        <v>0</v>
      </c>
      <c r="E44" s="34">
        <f t="shared" si="0"/>
        <v>0</v>
      </c>
      <c r="F44" s="34">
        <f t="shared" si="0"/>
        <v>0</v>
      </c>
      <c r="G44" s="35">
        <f t="shared" si="0"/>
        <v>0</v>
      </c>
    </row>
    <row r="45" spans="1:9" ht="21" customHeight="1">
      <c r="A45" s="36" t="s">
        <v>40</v>
      </c>
      <c r="B45" s="17">
        <f t="shared" ref="B45:G45" si="1">SUM(B39:B41)-(B44)</f>
        <v>31942.62</v>
      </c>
      <c r="C45" s="18">
        <f t="shared" si="1"/>
        <v>4090.82</v>
      </c>
      <c r="D45" s="18">
        <f t="shared" si="1"/>
        <v>2914.8999999999996</v>
      </c>
      <c r="E45" s="18">
        <f t="shared" si="1"/>
        <v>1264.75</v>
      </c>
      <c r="F45" s="18">
        <f t="shared" si="1"/>
        <v>133.19999999999982</v>
      </c>
      <c r="G45" s="19">
        <f t="shared" si="1"/>
        <v>6782.3</v>
      </c>
      <c r="H45" s="27">
        <f>SUM(B45:G45)</f>
        <v>47128.590000000004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Administrator</cp:lastModifiedBy>
  <dcterms:created xsi:type="dcterms:W3CDTF">2022-09-03T04:21:00Z</dcterms:created>
  <dcterms:modified xsi:type="dcterms:W3CDTF">2026-02-02T05:26:36Z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