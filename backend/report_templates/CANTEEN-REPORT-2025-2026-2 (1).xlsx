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https://d.docs.live.net/7d83244719a67419/Desktop/New folder (11)/"/>
    </mc:Choice>
  </mc:AlternateContent>
  <xr:revisionPtr revIDLastSave="16" documentId="13_ncr:1_{D74D8BFD-E914-4CA7-BBD0-84A2922F45C4}" xr6:coauthVersionLast="47" xr6:coauthVersionMax="47" xr10:uidLastSave="{A73BE2EA-497C-48E4-8269-A354831A8A38}"/>
  <bookViews>
    <workbookView xWindow="-108" yWindow="-108" windowWidth="23256" windowHeight="12456" activeTab="2" xr2:uid="{00000000-000D-0000-FFFF-FFFF00000000}"/>
  </bookViews>
  <sheets>
    <sheet name="June" sheetId="1" r:id="rId1"/>
    <sheet name="July" sheetId="14" r:id="rId2"/>
    <sheet name="August" sheetId="3" r:id="rId3"/>
    <sheet name="September" sheetId="4" r:id="rId4"/>
    <sheet name="October" sheetId="5" r:id="rId5"/>
    <sheet name="November" sheetId="6" r:id="rId6"/>
    <sheet name="December" sheetId="7" r:id="rId7"/>
    <sheet name="January" sheetId="8" r:id="rId8"/>
    <sheet name="February" sheetId="9" r:id="rId9"/>
    <sheet name="March" sheetId="10" r:id="rId10"/>
    <sheet name="April" sheetId="11" r:id="rId11"/>
    <sheet name="May" sheetId="12" r:id="rId1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16" roundtripDataChecksum="+5c/4Qlm7mUp/+0jBT940r99xv3knpMLT21dO8Fr3OA="/>
    </ext>
  </extLst>
</workbook>
</file>

<file path=xl/calcChain.xml><?xml version="1.0" encoding="utf-8"?>
<calcChain xmlns="http://schemas.openxmlformats.org/spreadsheetml/2006/main">
  <c r="G39" i="3" l="1"/>
  <c r="F39" i="3"/>
  <c r="E39" i="3"/>
  <c r="D39" i="3"/>
  <c r="C39" i="3"/>
  <c r="B39" i="3"/>
  <c r="F35" i="14"/>
  <c r="F28" i="14"/>
  <c r="F18" i="14"/>
  <c r="F36" i="14" s="1"/>
  <c r="F28" i="12"/>
  <c r="F28" i="11"/>
  <c r="F28" i="10"/>
  <c r="F28" i="9"/>
  <c r="F28" i="8"/>
  <c r="F28" i="7"/>
  <c r="F28" i="6"/>
  <c r="F28" i="5"/>
  <c r="F28" i="4"/>
  <c r="F28" i="3"/>
  <c r="F28" i="1"/>
  <c r="F35" i="12"/>
  <c r="F18" i="12"/>
  <c r="F35" i="11"/>
  <c r="F18" i="11"/>
  <c r="F35" i="10"/>
  <c r="F18" i="10"/>
  <c r="F35" i="9"/>
  <c r="F18" i="9"/>
  <c r="F35" i="8"/>
  <c r="F18" i="8"/>
  <c r="F35" i="7"/>
  <c r="F18" i="7"/>
  <c r="F35" i="6"/>
  <c r="F18" i="6"/>
  <c r="F35" i="5"/>
  <c r="F18" i="5"/>
  <c r="F35" i="4"/>
  <c r="F18" i="4"/>
  <c r="F35" i="3"/>
  <c r="F18" i="3"/>
  <c r="F35" i="1"/>
  <c r="F18" i="1"/>
  <c r="F36" i="12" l="1"/>
  <c r="F36" i="10"/>
  <c r="F36" i="1"/>
  <c r="F36" i="8"/>
  <c r="F36" i="7"/>
  <c r="F36" i="6"/>
  <c r="F36" i="9"/>
  <c r="F36" i="5"/>
  <c r="F36" i="11"/>
  <c r="F36" i="4"/>
  <c r="F36" i="3"/>
  <c r="D39" i="4" l="1"/>
  <c r="D39" i="5" s="1"/>
  <c r="D39" i="6" s="1"/>
  <c r="D39" i="7" s="1"/>
  <c r="D39" i="8" s="1"/>
  <c r="D39" i="9" s="1"/>
  <c r="D39" i="10" s="1"/>
  <c r="D39" i="11" s="1"/>
  <c r="D39" i="12" s="1"/>
  <c r="E39" i="4" l="1"/>
  <c r="E39" i="5" s="1"/>
  <c r="E39" i="6" s="1"/>
  <c r="E39" i="7" s="1"/>
  <c r="E39" i="8" s="1"/>
  <c r="E39" i="9" s="1"/>
  <c r="E39" i="10" s="1"/>
  <c r="E39" i="11" s="1"/>
  <c r="E39" i="12" s="1"/>
  <c r="C39" i="4"/>
  <c r="C39" i="5" s="1"/>
  <c r="C39" i="6" s="1"/>
  <c r="C39" i="7" s="1"/>
  <c r="C39" i="8" s="1"/>
  <c r="C39" i="9" s="1"/>
  <c r="C39" i="10" s="1"/>
  <c r="C39" i="11" s="1"/>
  <c r="C39" i="12" s="1"/>
  <c r="G39" i="4"/>
  <c r="G39" i="5" s="1"/>
  <c r="G39" i="6" s="1"/>
  <c r="G39" i="7" s="1"/>
  <c r="G39" i="8" s="1"/>
  <c r="G39" i="9" s="1"/>
  <c r="G39" i="10" s="1"/>
  <c r="G39" i="11" s="1"/>
  <c r="G39" i="12" s="1"/>
  <c r="F39" i="4"/>
  <c r="F39" i="5" s="1"/>
  <c r="F39" i="6" s="1"/>
  <c r="F39" i="7" s="1"/>
  <c r="F39" i="8" s="1"/>
  <c r="F39" i="9" s="1"/>
  <c r="F39" i="10" s="1"/>
  <c r="F39" i="11" s="1"/>
  <c r="F39" i="12" s="1"/>
  <c r="C15" i="3"/>
  <c r="B39" i="4" l="1"/>
  <c r="C15" i="4"/>
  <c r="C15" i="5" l="1"/>
  <c r="B39" i="5"/>
  <c r="B39" i="6" l="1"/>
  <c r="C15" i="6"/>
  <c r="C15" i="7" l="1"/>
  <c r="B39" i="7"/>
  <c r="B39" i="8" l="1"/>
  <c r="C15" i="8"/>
  <c r="C15" i="9" l="1"/>
  <c r="B39" i="9"/>
  <c r="B39" i="10" l="1"/>
  <c r="C15" i="10"/>
  <c r="C15" i="11" l="1"/>
  <c r="B39" i="11"/>
  <c r="B39" i="12" l="1"/>
  <c r="C15" i="12"/>
</calcChain>
</file>

<file path=xl/sharedStrings.xml><?xml version="1.0" encoding="utf-8"?>
<sst xmlns="http://schemas.openxmlformats.org/spreadsheetml/2006/main" count="625" uniqueCount="63">
  <si>
    <t>Republic of the Philippines</t>
  </si>
  <si>
    <t>Department of Education</t>
  </si>
  <si>
    <t>REGION IV-A CALABARZON</t>
  </si>
  <si>
    <t>SCHOOLS DIVISION OFFICE OF LAGUNA</t>
  </si>
  <si>
    <t>BAY SUB-OFFICE</t>
  </si>
  <si>
    <t>BAY CENTRAL ELEMENTARY SCHOOL</t>
  </si>
  <si>
    <t>STATEMENT OF MONTHLY CANTEEN OPERATION</t>
  </si>
  <si>
    <t>For the Month of June 2025</t>
  </si>
  <si>
    <t xml:space="preserve">Cash on Hand from previous net </t>
  </si>
  <si>
    <t>Current Sales</t>
  </si>
  <si>
    <t>Less: Cost of Sales</t>
  </si>
  <si>
    <t>Gross income of the Operation</t>
  </si>
  <si>
    <t>Less: Operation Expenses</t>
  </si>
  <si>
    <t>Transportation/Freight</t>
  </si>
  <si>
    <t>Gas</t>
  </si>
  <si>
    <t>Supplies</t>
  </si>
  <si>
    <t>Helpers</t>
  </si>
  <si>
    <t>Repair</t>
  </si>
  <si>
    <t>Purchase from the looses of tools</t>
  </si>
  <si>
    <t>Other expenses</t>
  </si>
  <si>
    <t>Total Expenses: ____________________________________</t>
  </si>
  <si>
    <t>Net Profit: _________________________________________</t>
  </si>
  <si>
    <t>Additional Income</t>
  </si>
  <si>
    <t>Like:</t>
  </si>
  <si>
    <t>Catering</t>
  </si>
  <si>
    <t>Commision</t>
  </si>
  <si>
    <t>Others</t>
  </si>
  <si>
    <t>Total</t>
  </si>
  <si>
    <t xml:space="preserve">Over All Net Profit: </t>
  </si>
  <si>
    <t>SUPPLEMENTARY FEEDING 35%</t>
  </si>
  <si>
    <t>SCHOOL CLINIC .05%</t>
  </si>
  <si>
    <t>FACULTY STUDENTS DEV'T FUND 15%</t>
  </si>
  <si>
    <t>SCHOOL OPERATING FUND 25%</t>
  </si>
  <si>
    <t>H.E. INSTRUCTIONAL FUND 10%</t>
  </si>
  <si>
    <t>REVOLVING CAPITAL FUND 10%</t>
  </si>
  <si>
    <t>Balance in previous month</t>
  </si>
  <si>
    <t>Interest on the bank</t>
  </si>
  <si>
    <t>Net Income for the Month</t>
  </si>
  <si>
    <t xml:space="preserve">Expenses for the Month </t>
  </si>
  <si>
    <t>Total Current Expenses</t>
  </si>
  <si>
    <t>Current Balance</t>
  </si>
  <si>
    <t>Cash on Bank</t>
  </si>
  <si>
    <t>Prepared by:</t>
  </si>
  <si>
    <t>Audited by:</t>
  </si>
  <si>
    <t>MYRNA A. DE MESA</t>
  </si>
  <si>
    <t>KATHLEEN B. HERNANDEZ</t>
  </si>
  <si>
    <t>Canteen Manager</t>
  </si>
  <si>
    <t>School Canteen Auditor</t>
  </si>
  <si>
    <t>Checked by</t>
  </si>
  <si>
    <t>MARICAR A. AFUANG</t>
  </si>
  <si>
    <t xml:space="preserve">      School Head</t>
  </si>
  <si>
    <t>For the Month of July 2025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</si>
  <si>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AUGUST</t>
    </r>
    <r>
      <rPr>
        <b/>
        <sz val="10"/>
        <color rgb="FF000000"/>
        <rFont val="Century Gothic"/>
      </rPr>
      <t xml:space="preserve"> 2025</t>
    </r>
  </si>
  <si>
    <t>For the Month of September 2025</t>
  </si>
  <si>
    <t xml:space="preserve"> 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</si>
  <si>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October</t>
    </r>
    <r>
      <rPr>
        <b/>
        <sz val="10"/>
        <color rgb="FF000000"/>
        <rFont val="Century Gothic"/>
      </rPr>
      <t xml:space="preserve"> 2025</t>
    </r>
  </si>
  <si>
    <t>For the Month of November 2025</t>
  </si>
  <si>
    <t>For the Month of December 2025</t>
  </si>
  <si>
    <t>For the Month of January 2026</t>
  </si>
  <si>
    <t>For the Month of February 2026</t>
  </si>
  <si>
    <t>For the Month of March 2026</t>
  </si>
  <si>
    <t>For the Month of April 2026</t>
  </si>
  <si>
    <t>For the Month of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</si>
</sst>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-&quot;₱&quot;* #,##0.00_-;\-&quot;₱&quot;* #,##0.00_-;_-&quot;₱&quot;* &quot;-&quot;??_-;_-@"/>
    <numFmt numFmtId="165" formatCode="_(&quot;₱&quot;* #,##0.00_);_(&quot;₱&quot;* \(#,##0.00\);_(&quot;₱&quot;* &quot;-&quot;??_);_(@_)"/>
    <numFmt numFmtId="166" formatCode="_(&quot;₱&quot;* #,##0.0000_);_(&quot;₱&quot;* \(#,##0.0000\);_(&quot;₱&quot;* &quot;-&quot;??_);_(@_)"/>
  </numFmts>
  <fonts count="21">
    <font>
      <sz val="11"/>
      <color rgb="FF000000"/>
      <name val="Calibri"/>
      <scheme val="minor"/>
    </font>
    <font>
      <sz val="11"/>
      <color rgb="FF000000"/>
      <name val="Old English Text MT"/>
    </font>
    <font>
      <sz val="11"/>
      <color rgb="FF000000"/>
      <name val="Calibri"/>
    </font>
    <font>
      <sz val="12"/>
      <color rgb="FF000000"/>
      <name val="Old English Text MT"/>
    </font>
    <font>
      <b/>
      <sz val="18"/>
      <color rgb="FF000000"/>
      <name val="Old English Text MT"/>
    </font>
    <font>
      <b/>
      <sz val="10"/>
      <color rgb="FF000000"/>
      <name val="Times New Roman"/>
    </font>
    <font>
      <b/>
      <sz val="10"/>
      <color rgb="FF000000"/>
      <name val="Century Gothic"/>
    </font>
    <font>
      <sz val="11"/>
      <color rgb="FF000000"/>
      <name val="Century Gothic"/>
    </font>
    <font>
      <sz val="10"/>
      <color rgb="FF000000"/>
      <name val="Century Gothic"/>
    </font>
    <font>
      <sz val="11"/>
      <name val="Calibri"/>
    </font>
    <font>
      <u/>
      <sz val="10"/>
      <color rgb="FF000000"/>
      <name val="Century Gothic"/>
    </font>
    <font>
      <b/>
      <i/>
      <sz val="10"/>
      <color rgb="FFFF0000"/>
      <name val="Century Gothic"/>
    </font>
    <font>
      <b/>
      <sz val="12"/>
      <color rgb="FF000000"/>
      <name val="Century Gothic"/>
    </font>
    <font>
      <b/>
      <u/>
      <sz val="12"/>
      <color rgb="FFFF0000"/>
      <name val="Century Gothic"/>
    </font>
    <font>
      <b/>
      <i/>
      <sz val="8"/>
      <color rgb="FF000000"/>
      <name val="Century Gothic"/>
    </font>
    <font>
      <sz val="9"/>
      <color rgb="FF000000"/>
      <name val="Century Gothic"/>
    </font>
    <font>
      <b/>
      <sz val="9"/>
      <color rgb="FF000000"/>
      <name val="Century Gothic"/>
    </font>
    <font>
      <b/>
      <i/>
      <sz val="9"/>
      <color rgb="FF000000"/>
      <name val="Century Gothic"/>
    </font>
    <font>
      <b/>
      <u/>
      <sz val="10"/>
      <color rgb="FF000000"/>
      <name val="Century Gothic"/>
    </font>
    <font>
      <u/>
      <sz val="11"/>
      <color rgb="FF000000"/>
      <name val="Calibri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/>
      <bottom style="double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164" fontId="8" fillId="0" borderId="1" xfId="0" applyNumberFormat="1" applyFont="1" applyBorder="1"/>
    <xf numFmtId="2" fontId="6" fillId="0" borderId="0" xfId="0" applyNumberFormat="1" applyFont="1"/>
    <xf numFmtId="0" fontId="11" fillId="0" borderId="0" xfId="0" applyFont="1"/>
    <xf numFmtId="0" fontId="14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5" fillId="0" borderId="3" xfId="0" applyFont="1" applyBorder="1" applyAlignment="1">
      <alignment vertical="center" wrapText="1"/>
    </xf>
    <xf numFmtId="164" fontId="16" fillId="0" borderId="7" xfId="0" applyNumberFormat="1" applyFont="1" applyBorder="1" applyAlignment="1">
      <alignment horizontal="center"/>
    </xf>
    <xf numFmtId="164" fontId="16" fillId="0" borderId="8" xfId="0" applyNumberFormat="1" applyFont="1" applyBorder="1" applyAlignment="1">
      <alignment horizontal="center"/>
    </xf>
    <xf numFmtId="164" fontId="16" fillId="0" borderId="9" xfId="0" applyNumberFormat="1" applyFont="1" applyBorder="1" applyAlignment="1">
      <alignment horizontal="center"/>
    </xf>
    <xf numFmtId="164" fontId="15" fillId="0" borderId="10" xfId="0" applyNumberFormat="1" applyFont="1" applyBorder="1" applyAlignment="1">
      <alignment horizontal="center" vertical="center"/>
    </xf>
    <xf numFmtId="164" fontId="15" fillId="0" borderId="11" xfId="0" applyNumberFormat="1" applyFont="1" applyBorder="1" applyAlignment="1">
      <alignment horizontal="center" vertical="center"/>
    </xf>
    <xf numFmtId="164" fontId="15" fillId="0" borderId="12" xfId="0" applyNumberFormat="1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vertical="center"/>
    </xf>
    <xf numFmtId="164" fontId="17" fillId="0" borderId="13" xfId="0" applyNumberFormat="1" applyFont="1" applyBorder="1" applyAlignment="1">
      <alignment vertical="center"/>
    </xf>
    <xf numFmtId="165" fontId="2" fillId="0" borderId="0" xfId="0" applyNumberFormat="1" applyFont="1"/>
    <xf numFmtId="0" fontId="15" fillId="0" borderId="3" xfId="0" applyFont="1" applyBorder="1" applyAlignment="1">
      <alignment horizontal="left" vertical="center"/>
    </xf>
    <xf numFmtId="164" fontId="15" fillId="0" borderId="14" xfId="0" applyNumberFormat="1" applyFont="1" applyBorder="1" applyAlignment="1">
      <alignment horizontal="center" vertical="center"/>
    </xf>
    <xf numFmtId="164" fontId="15" fillId="0" borderId="15" xfId="0" applyNumberFormat="1" applyFont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 wrapText="1"/>
    </xf>
    <xf numFmtId="164" fontId="17" fillId="0" borderId="14" xfId="0" applyNumberFormat="1" applyFont="1" applyBorder="1" applyAlignment="1">
      <alignment horizontal="center" vertical="center"/>
    </xf>
    <xf numFmtId="164" fontId="17" fillId="0" borderId="15" xfId="0" applyNumberFormat="1" applyFont="1" applyBorder="1" applyAlignment="1">
      <alignment horizontal="center" vertical="center"/>
    </xf>
    <xf numFmtId="164" fontId="17" fillId="0" borderId="13" xfId="0" applyNumberFormat="1" applyFont="1" applyBorder="1" applyAlignment="1">
      <alignment horizontal="center" vertical="center"/>
    </xf>
    <xf numFmtId="0" fontId="15" fillId="0" borderId="16" xfId="0" applyFont="1" applyBorder="1" applyAlignment="1">
      <alignment vertical="center" wrapText="1"/>
    </xf>
    <xf numFmtId="0" fontId="8" fillId="0" borderId="17" xfId="0" applyFont="1" applyBorder="1" applyAlignment="1">
      <alignment horizontal="center" vertical="center"/>
    </xf>
    <xf numFmtId="165" fontId="16" fillId="0" borderId="18" xfId="0" applyNumberFormat="1" applyFont="1" applyBorder="1" applyAlignment="1">
      <alignment horizontal="center"/>
    </xf>
    <xf numFmtId="165" fontId="16" fillId="0" borderId="19" xfId="0" applyNumberFormat="1" applyFont="1" applyBorder="1" applyAlignment="1">
      <alignment horizontal="center"/>
    </xf>
    <xf numFmtId="165" fontId="16" fillId="0" borderId="20" xfId="0" applyNumberFormat="1" applyFont="1" applyBorder="1" applyAlignment="1">
      <alignment horizontal="center"/>
    </xf>
    <xf numFmtId="0" fontId="6" fillId="0" borderId="0" xfId="0" applyFont="1"/>
    <xf numFmtId="0" fontId="8" fillId="0" borderId="0" xfId="0" applyFont="1" applyAlignment="1">
      <alignment horizontal="center"/>
    </xf>
    <xf numFmtId="0" fontId="19" fillId="0" borderId="0" xfId="0" applyFont="1"/>
    <xf numFmtId="0" fontId="20" fillId="0" borderId="0" xfId="0" applyFont="1"/>
    <xf numFmtId="4" fontId="2" fillId="0" borderId="0" xfId="0" applyNumberFormat="1" applyFont="1"/>
    <xf numFmtId="4" fontId="8" fillId="0" borderId="0" xfId="0" applyNumberFormat="1" applyFont="1"/>
    <xf numFmtId="0" fontId="18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0" fontId="10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3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165" fontId="8" fillId="0" borderId="2" xfId="0" applyNumberFormat="1" applyFont="1" applyBorder="1" applyAlignment="1">
      <alignment horizontal="center"/>
    </xf>
    <xf numFmtId="0" fontId="9" fillId="0" borderId="2" xfId="0" applyFont="1" applyBorder="1"/>
    <xf numFmtId="165" fontId="6" fillId="0" borderId="0" xfId="0" applyNumberFormat="1" applyFont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5" fontId="6" fillId="0" borderId="2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center"/>
    </xf>
    <xf numFmtId="165" fontId="8" fillId="0" borderId="2" xfId="0" applyNumberFormat="1" applyFont="1" applyBorder="1" applyAlignment="1">
      <alignment horizontal="center" wrapText="1"/>
    </xf>
    <xf numFmtId="0" fontId="2" fillId="0" borderId="0" xfId="0" applyFont="1"/>
    <xf numFmtId="0" fontId="6" fillId="0" borderId="0" xfId="0" applyFont="1" applyAlignment="1">
      <alignment horizontal="center"/>
    </xf>
    <xf numFmtId="165" fontId="8" fillId="0" borderId="1" xfId="0" applyNumberFormat="1" applyFont="1" applyBorder="1" applyAlignment="1">
      <alignment horizontal="right"/>
    </xf>
    <xf numFmtId="165" fontId="8" fillId="0" borderId="2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F45461D-61E9-4426-9DEE-72612533226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B8FE43CD-A14B-481F-8693-B2D13283310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049905" y="66675"/>
          <a:ext cx="733425" cy="67627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838200</xdr:colOff>
      <xdr:row>0</xdr:row>
      <xdr:rowOff>0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25" workbookViewId="0">
      <selection activeCell="A38" sqref="A38:G45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8">
        <v>0</v>
      </c>
      <c r="G16" s="51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v>0</v>
      </c>
      <c r="C39" s="18">
        <v>0</v>
      </c>
      <c r="D39" s="18">
        <v>0</v>
      </c>
      <c r="E39" s="18">
        <v>0</v>
      </c>
      <c r="F39" s="18">
        <v>0</v>
      </c>
      <c r="G39" s="19"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1">
        <v>0</v>
      </c>
      <c r="D42" s="21">
        <v>0</v>
      </c>
      <c r="E42" s="21">
        <v>0</v>
      </c>
      <c r="F42" s="21">
        <v>0</v>
      </c>
      <c r="G42" s="22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65" right="0.7" top="0.31" bottom="0.31" header="0" footer="0"/>
  <pageSetup paperSize="9" scale="8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3E236-A42F-4A10-ABD1-4EDA6F3BB93D}">
  <dimension ref="A1:Z1000"/>
  <sheetViews>
    <sheetView topLeftCell="A19" workbookViewId="0">
      <selection activeCell="B39" sqref="B39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51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8">
        <v>0</v>
      </c>
      <c r="G16" s="51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 thickBo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 thickTop="1" thickBot="1">
      <c r="A39" s="16" t="s">
        <v>35</v>
      </c>
      <c r="B39" s="17">
        <v>0</v>
      </c>
      <c r="C39" s="18">
        <v>0</v>
      </c>
      <c r="D39" s="18">
        <v>0</v>
      </c>
      <c r="E39" s="18">
        <v>0</v>
      </c>
      <c r="F39" s="18">
        <v>0</v>
      </c>
      <c r="G39" s="19">
        <v>0</v>
      </c>
    </row>
    <row r="40" spans="1:9" ht="27.75" customHeight="1" thickTop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1">
        <v>0</v>
      </c>
      <c r="D42" s="21">
        <v>0</v>
      </c>
      <c r="E42" s="21">
        <v>0</v>
      </c>
      <c r="F42" s="21">
        <v>0</v>
      </c>
      <c r="G42" s="22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 thickBo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 thickTop="1" thickBo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 thickTop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2:G12"/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F28:G28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A54:B54"/>
    <mergeCell ref="F30:G30"/>
    <mergeCell ref="D32:E32"/>
    <mergeCell ref="D33:E33"/>
    <mergeCell ref="D34:E34"/>
    <mergeCell ref="F35:G35"/>
    <mergeCell ref="B36:C36"/>
    <mergeCell ref="F36:G36"/>
    <mergeCell ref="B49:D49"/>
    <mergeCell ref="A50:B50"/>
    <mergeCell ref="E50:F50"/>
    <mergeCell ref="A51:B51"/>
    <mergeCell ref="E51:F51"/>
    <mergeCell ref="A56:B56"/>
    <mergeCell ref="A57:B57"/>
    <mergeCell ref="A61:B61"/>
    <mergeCell ref="E61:F61"/>
    <mergeCell ref="A62:B62"/>
    <mergeCell ref="D62:G62"/>
  </mergeCells>
  <pageMargins left="0.65" right="0.7" top="0.31" bottom="0.31" header="0" footer="0"/>
  <pageSetup paperSize="9" scale="85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abSelected="1" topLeftCell="A27" workbookViewId="0">
      <selection activeCell="G39" sqref="G39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  <c r="L14" s="45"/>
    </row>
    <row r="15" spans="1:26" ht="14.25" customHeight="1">
      <c r="A15" s="8" t="s">
        <v>8</v>
      </c>
      <c r="B15" s="8"/>
      <c r="C15" s="9" t="e">
        <f>#REF!</f>
        <v>#REF!</v>
      </c>
      <c r="D15" s="8"/>
      <c r="E15" s="8"/>
      <c r="F15" s="46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July!B45</f>
        <v>0</v>
      </c>
      <c r="C39" s="17">
        <f>July!C45</f>
        <v>0</v>
      </c>
      <c r="D39" s="17">
        <f>July!D45</f>
        <v>0</v>
      </c>
      <c r="E39" s="17">
        <f>July!E45</f>
        <v>0</v>
      </c>
      <c r="F39" s="17">
        <f>July!F45</f>
        <v>0</v>
      </c>
      <c r="G39" s="17">
        <f>July!G45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7" workbookViewId="0">
      <selection activeCell="G45" sqref="G4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2.88671875" customWidth="1"/>
    <col min="8" max="8" width="15.5546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53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August!H45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August!B45</f>
        <v>0</v>
      </c>
      <c r="C39" s="17">
        <f>August!C45</f>
        <v>0</v>
      </c>
      <c r="D39" s="17">
        <f>August!D45</f>
        <v>0</v>
      </c>
      <c r="E39" s="17">
        <f>August!E45</f>
        <v>0</v>
      </c>
      <c r="F39" s="17">
        <f>August!F45</f>
        <v>0</v>
      </c>
      <c r="G39" s="17">
        <f>August!G45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 t="s">
        <v>54</v>
      </c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36" workbookViewId="0">
      <selection activeCell="G44" sqref="G44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4">
      <c r="A13" s="67" t="s">
        <v>55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4">
      <c r="A14" s="8"/>
      <c r="B14" s="8"/>
      <c r="C14" s="8"/>
      <c r="D14" s="8"/>
      <c r="E14" s="8"/>
      <c r="F14" s="8"/>
      <c r="G14" s="8"/>
    </row>
    <row r="15" spans="1:26" ht="14.4">
      <c r="A15" s="8" t="s">
        <v>8</v>
      </c>
      <c r="B15" s="8"/>
      <c r="C15" s="9">
        <f>September!H45</f>
        <v>0</v>
      </c>
      <c r="D15" s="8"/>
      <c r="E15" s="8"/>
      <c r="F15" s="8"/>
      <c r="G15" s="8"/>
    </row>
    <row r="16" spans="1:26" ht="14.4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4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4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4">
      <c r="A20" s="8" t="s">
        <v>12</v>
      </c>
      <c r="B20" s="8"/>
      <c r="C20" s="8"/>
      <c r="D20" s="8"/>
      <c r="E20" s="8"/>
      <c r="F20" s="8"/>
      <c r="G20" s="8"/>
    </row>
    <row r="21" spans="1:7" ht="15.7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5.7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5.7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5.7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5.7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5.7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5.7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5.7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5.7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September!B45</f>
        <v>0</v>
      </c>
      <c r="C39" s="17">
        <f>September!C45</f>
        <v>0</v>
      </c>
      <c r="D39" s="17">
        <f>September!D45</f>
        <v>0</v>
      </c>
      <c r="E39" s="17">
        <f>September!E45</f>
        <v>0</v>
      </c>
      <c r="F39" s="17">
        <f>September!F45</f>
        <v>0</v>
      </c>
      <c r="G39" s="17">
        <f>September!G45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5.75" customHeight="1"/>
    <row r="254" spans="1:7" ht="15.75" customHeight="1"/>
    <row r="255" spans="1:7" ht="15.75" customHeight="1"/>
    <row r="256" spans="1: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20" workbookViewId="0">
      <selection activeCell="I25" sqref="I2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56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October!H45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October!B45</f>
        <v>0</v>
      </c>
      <c r="C39" s="17">
        <f>October!C45</f>
        <v>0</v>
      </c>
      <c r="D39" s="17">
        <f>October!D45</f>
        <v>0</v>
      </c>
      <c r="E39" s="17">
        <f>October!E45</f>
        <v>0</v>
      </c>
      <c r="F39" s="17">
        <f>October!F45</f>
        <v>0</v>
      </c>
      <c r="G39" s="17">
        <f>October!G45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paperSize="9" scale="8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topLeftCell="A18" workbookViewId="0">
      <selection activeCell="G42" sqref="G42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1.1093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November!H45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November!B45</f>
        <v>0</v>
      </c>
      <c r="C39" s="17">
        <f>November!C45</f>
        <v>0</v>
      </c>
      <c r="D39" s="17">
        <f>November!D45</f>
        <v>0</v>
      </c>
      <c r="E39" s="17">
        <f>November!E45</f>
        <v>0</v>
      </c>
      <c r="F39" s="17">
        <f>November!F45</f>
        <v>0</v>
      </c>
      <c r="G39" s="17">
        <f>November!G45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paperSize="9" scale="8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selection activeCell="A15" sqref="A15:G28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58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December!H45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December!B45</f>
        <v>0</v>
      </c>
      <c r="C39" s="17">
        <f>December!C45</f>
        <v>0</v>
      </c>
      <c r="D39" s="17">
        <f>December!D45</f>
        <v>0</v>
      </c>
      <c r="E39" s="17">
        <f>December!E45</f>
        <v>0</v>
      </c>
      <c r="F39" s="17">
        <f>December!F45</f>
        <v>0</v>
      </c>
      <c r="G39" s="17">
        <f>December!G45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0"/>
      <c r="B1" s="48"/>
      <c r="C1" s="48"/>
      <c r="D1" s="48"/>
      <c r="E1" s="48"/>
      <c r="F1" s="48"/>
      <c r="G1" s="48"/>
      <c r="H1" s="1"/>
    </row>
    <row r="2" spans="1:26" ht="15" customHeight="1">
      <c r="A2" s="71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59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January!H45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January!B45</f>
        <v>0</v>
      </c>
      <c r="C39" s="17">
        <f>January!C45</f>
        <v>0</v>
      </c>
      <c r="D39" s="17">
        <f>January!D45</f>
        <v>0</v>
      </c>
      <c r="E39" s="17">
        <f>January!E45</f>
        <v>0</v>
      </c>
      <c r="F39" s="17">
        <f>January!F45</f>
        <v>0</v>
      </c>
      <c r="G39" s="17">
        <f>January!G45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3320312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60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February!H45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February!B45</f>
        <v>0</v>
      </c>
      <c r="C39" s="17">
        <f>February!C45</f>
        <v>0</v>
      </c>
      <c r="D39" s="17">
        <f>February!D45</f>
        <v>0</v>
      </c>
      <c r="E39" s="17">
        <f>February!E45</f>
        <v>0</v>
      </c>
      <c r="F39" s="17">
        <f>February!F45</f>
        <v>0</v>
      </c>
      <c r="G39" s="17">
        <f>February!G45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6" width="13.5546875" customWidth="1"/>
    <col min="7" max="7" width="13.4414062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61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March!H45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March!B45</f>
        <v>0</v>
      </c>
      <c r="C39" s="17">
        <f>March!C45</f>
        <v>0</v>
      </c>
      <c r="D39" s="17">
        <f>March!D45</f>
        <v>0</v>
      </c>
      <c r="E39" s="17">
        <f>March!E45</f>
        <v>0</v>
      </c>
      <c r="F39" s="17">
        <f>March!F45</f>
        <v>0</v>
      </c>
      <c r="G39" s="17">
        <f>March!G45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4414062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April!H45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April!B45</f>
        <v>0</v>
      </c>
      <c r="C39" s="17">
        <f>April!C45</f>
        <v>0</v>
      </c>
      <c r="D39" s="17">
        <f>April!D45</f>
        <v>0</v>
      </c>
      <c r="E39" s="17">
        <f>April!E45</f>
        <v>0</v>
      </c>
      <c r="F39" s="17">
        <f>April!F45</f>
        <v>0</v>
      </c>
      <c r="G39" s="17">
        <f>April!G45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scale="75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June</vt:lpstr>
      <vt:lpstr>July</vt:lpstr>
      <vt:lpstr>August</vt:lpstr>
      <vt:lpstr>September</vt:lpstr>
      <vt:lpstr>October</vt:lpstr>
      <vt:lpstr>November</vt:lpstr>
      <vt:lpstr>December</vt:lpstr>
      <vt:lpstr>January</vt:lpstr>
      <vt:lpstr>February</vt:lpstr>
      <vt:lpstr>March</vt:lpstr>
      <vt:lpstr>April</vt:lpstr>
      <vt:lpstr>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M. Calo</dc:creator>
  <cp:lastModifiedBy>Ronald Mark Lopez Masalonga</cp:lastModifiedBy>
  <dcterms:created xsi:type="dcterms:W3CDTF">2022-09-03T04:21:00Z</dcterms:created>
  <dcterms:modified xsi:type="dcterms:W3CDTF">2026-08-08T16:26:06Z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5437292E9C24492BBC60629484EC7FDA</vt:lpwstr>
  </property>
  <property fmtid="{D5CDD505-2E9C-101B-9397-08002B2CF9AE}" pid="3" name="KSOProductBuildVer">
    <vt:lpwstr>1033-12.2.0.13215</vt:lpwstr>
  </property>
</Properties>
</file>